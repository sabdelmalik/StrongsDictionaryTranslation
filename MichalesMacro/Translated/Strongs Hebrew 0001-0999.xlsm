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1.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Sheet1" sheetId="1" r:id="rId5"/>
  </sheets>
  <definedNames/>
  <calcPr/>
  <extLst>
    <ext uri="GoogleSheetsCustomDataVersion2">
      <go:sheetsCustomData xmlns:go="http://customooxmlschemas.google.com/" r:id="rId6" roundtripDataChecksum="BapG1sTrQE73K9IBRwNC8cIO+oei6mp9C+CMyfTzZHg="/>
    </ext>
  </extLst>
</workbook>
</file>

<file path=xl/sharedStrings.xml><?xml version="1.0" encoding="utf-8"?>
<sst xmlns="http://schemas.openxmlformats.org/spreadsheetml/2006/main" count="5125" uniqueCount="3710">
  <si>
    <t>H0001 = אָב</t>
  </si>
  <si>
    <t>1) father of an individual    2) of God as father of his people    3) head or founder of a household, group, family, or clan    4) ancestor    4a) grandfather, forefathers - of person    4b) of people    5) originator or patron of a class, profession, or art    6) of producer, generator (fig.)    7) of benevolence and protection (fig.)    8) term of respect and honour    9) ruler or chief (spec.)</t>
  </si>
  <si>
    <t>father</t>
  </si>
  <si>
    <t>father, forefather, ancestor, author, maker of anything, term of respect and honour as a master or teacher, adviser</t>
  </si>
  <si>
    <t>&gt;</t>
  </si>
  <si>
    <t>H0002 = אַב</t>
  </si>
  <si>
    <t>1) father</t>
  </si>
  <si>
    <t>father, ancestors, grandfather</t>
  </si>
  <si>
    <t>H0003 = אֵב</t>
  </si>
  <si>
    <t>1) freshness, fresh green, green shoots, or greenery</t>
  </si>
  <si>
    <t>greenness</t>
  </si>
  <si>
    <t>greenness, fruit, green herbs or plants</t>
  </si>
  <si>
    <t>H0004 = אֵב</t>
  </si>
  <si>
    <t>1) fruit, fresh, young, greening</t>
  </si>
  <si>
    <t>fruit</t>
  </si>
  <si>
    <t>H0005 = אֲבַגְתָא</t>
  </si>
  <si>
    <t>Abagtha = "God-given"    1) one of the seven eunuchs in the Persian court of Ahasuerus</t>
  </si>
  <si>
    <t>Abagtha</t>
  </si>
  <si>
    <t>Abagtha = "father of fortune, given by fortune" eunuch; servant of king Ahasuerus (Xerxes)</t>
  </si>
  <si>
    <t>H0006 = אָבַד</t>
  </si>
  <si>
    <t>1) perish, vanish, go astray, be destroyed    1a) (Qal)    1a1) perish, die, be exterminated    1a2) perish, vanish (fig.)    1a3) be lost, strayed    1b) (Piel)    1b1) to destroy, kill, cause to perish, to give up (as lost), exterminate    1b2) to blot out, do away with, cause to vanish, (fig.)    1b3) cause to stray, lose    1c) (Hiphil)    1c1) to destroy, put to death    1c1a) of divine judgment    1c2) object name of kings (fig.)</t>
  </si>
  <si>
    <t>to perish</t>
  </si>
  <si>
    <t>(1) qal   to wander, stray, be lost; (2a) qal   to perish; (2b) pi.   to destroy; (2c) hif.   to destroy</t>
  </si>
  <si>
    <t>H0007 = אֲבַד</t>
  </si>
  <si>
    <t>1) to perish, vanish    1a) (P'al) shall perish    1b) (Aphel) destroy    1c) (Hophal) be destroyed</t>
  </si>
  <si>
    <t>to destroy</t>
  </si>
  <si>
    <t>H0008 = אֹבֵד</t>
  </si>
  <si>
    <t>1) destruction</t>
  </si>
  <si>
    <t>destruction</t>
  </si>
  <si>
    <t>H0009 = אֲבֵדָה</t>
  </si>
  <si>
    <t>1) a lost thing, something lost</t>
  </si>
  <si>
    <t>something lost</t>
  </si>
  <si>
    <t>something lost, about which one does not know where it is</t>
  </si>
  <si>
    <t>H0010 = אֲבַדּוֹן</t>
  </si>
  <si>
    <t>1)  a perishing</t>
  </si>
  <si>
    <t>H0011 = אֲבַדּוֹן</t>
  </si>
  <si>
    <t>1) place of destruction, destruction, ruin, Abaddon</t>
  </si>
  <si>
    <t>Abaddon</t>
  </si>
  <si>
    <t>abyss</t>
  </si>
  <si>
    <t>H0012 = אַבְדָ֑ן</t>
  </si>
  <si>
    <t>H0013 = אׇבְדַן</t>
  </si>
  <si>
    <t>act of destroying</t>
  </si>
  <si>
    <t>H0014 = אָבָה</t>
  </si>
  <si>
    <t>1) to be willing, consent    1a) (Qal)    1a1) to be willing    1a2) to consent, yield to, accept    1a3) to desire</t>
  </si>
  <si>
    <t>be willing</t>
  </si>
  <si>
    <t>qal   to be willing</t>
  </si>
  <si>
    <t>H0015 = אָבֶה</t>
  </si>
  <si>
    <t>1) entreat, longing, desire</t>
  </si>
  <si>
    <t>desire</t>
  </si>
  <si>
    <t>longing, desire</t>
  </si>
  <si>
    <t>H0016 = אֵ֫בֶה</t>
  </si>
  <si>
    <t>1) reed, papyrus</t>
  </si>
  <si>
    <t>papyrus</t>
  </si>
  <si>
    <t>H0017 = אֲבוֹי</t>
  </si>
  <si>
    <t>1) Oh!, Woe!, (exclamation of pain - indicates desire or uneasiness)</t>
  </si>
  <si>
    <t>want</t>
  </si>
  <si>
    <t>poverty, want, misery, sorrow, woe</t>
  </si>
  <si>
    <t>H0018 = אֵבוּס</t>
  </si>
  <si>
    <t>1) crib, manger, feeding trough</t>
  </si>
  <si>
    <t>crib</t>
  </si>
  <si>
    <t>manger, crib</t>
  </si>
  <si>
    <t>H0019 = אִבְחָה</t>
  </si>
  <si>
    <t>1) slaughter, flesh, meat, slaughtered meat</t>
  </si>
  <si>
    <t>slaughter</t>
  </si>
  <si>
    <t>meaning unknown; HOTTP threat / unsheathing / glittering</t>
  </si>
  <si>
    <t>H0020 = אֲבַטִּחִים</t>
  </si>
  <si>
    <t>1) watermelon, Egyptian fruit</t>
  </si>
  <si>
    <t>melon</t>
  </si>
  <si>
    <t>melons</t>
  </si>
  <si>
    <t>H0021 = אֲבִי</t>
  </si>
  <si>
    <t>Abi = "my father"    1) mother of Hezekiah (cf H029)</t>
  </si>
  <si>
    <t>Abi</t>
  </si>
  <si>
    <t>Abi; daughter of Zechariah; wife of Ahaz; mother of Hezekiah</t>
  </si>
  <si>
    <t>H0022 = אֲבִיאֵל</t>
  </si>
  <si>
    <t>Abiel = "El (God) is (my) father"    1) Saul's grandfather</t>
  </si>
  <si>
    <t>Abiel</t>
  </si>
  <si>
    <t>Abiel = "my father is God" or "my father is strong"  grandfather of king Saul;  warrior Abi-albon in the time of king David</t>
  </si>
  <si>
    <t>H0023 = אֲבִיאָסָף</t>
  </si>
  <si>
    <t>Abiasaph = "my father has gathered"    1) son (descendant) of Korah</t>
  </si>
  <si>
    <t>Abiasaph</t>
  </si>
  <si>
    <t>Abiasaph; son of Korah; tribe of Levi</t>
  </si>
  <si>
    <t>H0024 = אָבִיב</t>
  </si>
  <si>
    <t>1) fresh, young barley ears, barley    2) month of ear-forming, of greening of crop, of growing green Abib, month of exodus and passover (March or April)</t>
  </si>
  <si>
    <t>Abib</t>
  </si>
  <si>
    <t>(a)   ears (of grain); (b)   name of month; pre-exilic; March/April</t>
  </si>
  <si>
    <t>H0025 = אֲבִי גִבְעוֹן</t>
  </si>
  <si>
    <t>Abi Gibon = "father of Gibeon"    1) site of great Bamah, location of the tabernacle of the Lord in the high place</t>
  </si>
  <si>
    <t>Abi-gibeon</t>
  </si>
  <si>
    <t>H0026 = אֲבִיגַ֫יִל, אֲבִיגַ֫ל</t>
  </si>
  <si>
    <t>Abigail = "my father is joy"    1) wife of Nabal, then of David    2) sister of David</t>
  </si>
  <si>
    <t>Abigail</t>
  </si>
  <si>
    <t>(a) אֲבִיגַל   Abigail; wife of Nabal and David; (b) אֲבִיגַל   Abigail; daughter of Nahash; sister of David</t>
  </si>
  <si>
    <t>H0027 = אֲבִידָן</t>
  </si>
  <si>
    <t>Abidan = "my father is judge"    1) a prince (ruler) of Benjamin</t>
  </si>
  <si>
    <t>Abidan</t>
  </si>
  <si>
    <t>Abidan; son of Gideoni; chief; tribe of Benjamin; time of Moses</t>
  </si>
  <si>
    <t>H0028 = אֲבִידָע</t>
  </si>
  <si>
    <t>Abida or Abidah = "my father knows"    1) fourth son of Midian and grandson of Abraham by his wife Keturah (after Sarah died)</t>
  </si>
  <si>
    <t>Abida</t>
  </si>
  <si>
    <t>Abida; son of Midian, son of Keturah, wife of Abraham</t>
  </si>
  <si>
    <t>H0029 = אֲבִיָּ֫הוּ, אֲבִיָּה</t>
  </si>
  <si>
    <t>Abia or Abiah or Abijah = "Jehovah is (my) father"    1) king of Judah, son and successor of Rehoboam    2) second son of Samuel    3) son of Jeroboam the first, king of Israel    4) son of Becher, a Benjamite    5) head of a priestly house (one of the 24 Levite groups)    6) head of a priestly house (after the exile)    7) wife of Hezron    8) mother of Hezekiah (cf H021)</t>
  </si>
  <si>
    <t>Abijah</t>
  </si>
  <si>
    <t>(a)   Abijah; son of Becher, son of Benjamin; (b)   Abijah; wife of Hezron; (c)   Abijah; son of Samuel; (d)   Abijah; priest; tribe of Levi; (e) אֲבִיָּם ,אֲבִיָּהוּ   Abijah; son of Rehoboam; king of Judah (913-911/10); (f)   Abijah; son of Jeroboam; (g) אֲבִי   Abijah; daughter of Zechariah; wife of Ahaz; mother of Hezekiah; (h)   Abijah; priest; tribe of Levi\ Abijah; son of Rehoboam; king of Judah (913-911/10)</t>
  </si>
  <si>
    <t>H0030 = אֲבִיהוּא</t>
  </si>
  <si>
    <t>Abihu = "he is (my) father"    1) a son of Aaron destroyed for sacrificing strange fire to God</t>
  </si>
  <si>
    <t>Abihu</t>
  </si>
  <si>
    <t>Abihu; son of Aaron; priest; tribe of Levi</t>
  </si>
  <si>
    <t>H0031 = אֲבִיהוּד</t>
  </si>
  <si>
    <t>Abihud = "my father is majesty"    1) son of Bela, a Benjamite</t>
  </si>
  <si>
    <t>Abihud</t>
  </si>
  <si>
    <t>Abihud; son of Bela; tribe of Benjamin</t>
  </si>
  <si>
    <t>H0032 = אֲבִיחַ֫יִל</t>
  </si>
  <si>
    <t>Abihail = "my father is might"    1) a Levite in Moses's time    2) a Gadite    3) father of Esther    4) wife of Abishur    5) wife of Rehoboam</t>
  </si>
  <si>
    <t>Abihail</t>
  </si>
  <si>
    <t>(a)   Abihail; father of Zuriel; tribe of Levi; (b)   Abihail; son of Huri; tribe of Gad; (c)   Abihail; father of Esther; tribe of Benjamin\ (c)   Abihail; wife of Abishur, descendant of Jerahmeel, tribe of Judah; (d)   Abihail; daughter of Eliab, son of Jesse</t>
  </si>
  <si>
    <t>H0033 = אֲבִי הָעֶזְרִי</t>
  </si>
  <si>
    <t>Abiezrite = "my father is help"    1) one of the family of Abiezer, a descendant of Joseph's son, Manasseh</t>
  </si>
  <si>
    <t>Abi-ezrite</t>
  </si>
  <si>
    <t>Abiezrite; member of clan of Abiezer</t>
  </si>
  <si>
    <t>H0034 = אֶבְיוֹן</t>
  </si>
  <si>
    <t>1) in want, needy, chiefly poor, needy person    2) subject to oppression and abuse    3) needing help, deliverance from trouble, especially as delivered by God    4) general reference to lowest class</t>
  </si>
  <si>
    <t>needy</t>
  </si>
  <si>
    <t>poor, miserable</t>
  </si>
  <si>
    <t>H0035 = אֲבִיּוֹנָה</t>
  </si>
  <si>
    <t>1) caper-berry-of stimulating desire</t>
  </si>
  <si>
    <t>caper berry; the eating of which is said to stimulate sexual desire</t>
  </si>
  <si>
    <t>H0036 = אֲבִיטוּב</t>
  </si>
  <si>
    <t>Abitub = "my father is good(ness)"    1) son of Shaharaim, a Benjamite</t>
  </si>
  <si>
    <t>Abitub</t>
  </si>
  <si>
    <t>Abitub; son of Shaharaim; tribe of Benjamin</t>
  </si>
  <si>
    <t>H0037 = אֲבִיטָ֑ל</t>
  </si>
  <si>
    <t>Abital = "my father is (the) dew"    1) a wife of David</t>
  </si>
  <si>
    <t>Abital</t>
  </si>
  <si>
    <t>Abital; wife of David</t>
  </si>
  <si>
    <t>H0038 = אֲבִיָּם</t>
  </si>
  <si>
    <t>Abijam = "my father is the sea" or "Yah(u) is (my) father"    1) king of Judah, son and successor of Rehoboam</t>
  </si>
  <si>
    <t>Abijam</t>
  </si>
  <si>
    <t>Abijam; son of Rehoboam; king of Judah (913-911/10)</t>
  </si>
  <si>
    <t>H0039 = אֲבִימָאֵל</t>
  </si>
  <si>
    <t>Abimael = "my father is El (God)"    1) son of Joktan, descendant of Shem</t>
  </si>
  <si>
    <t>Abimael</t>
  </si>
  <si>
    <t>Abimael; son of Joktan; descendant of Shem</t>
  </si>
  <si>
    <t>H0040 = אֲבִימֶ֫לֶךְ</t>
  </si>
  <si>
    <t>Abimelech = "Melek is father" or "my father is king"    1) king of Gerar in Abraham's time    2) king of Gath in David's time; maybe title of Philistine kings    3) son of Gideon by a concubine    4) priest, son of Abiathar</t>
  </si>
  <si>
    <t>Abimelech</t>
  </si>
  <si>
    <t>(a)   Abimelech; king of Gerar; (b)   Abimelech; son of Gideon; king of Shechem ; (c)   Abimelech; Achish, king of Gath?; (d)   Abimelech; son of Abiathar; priest; tribe of Levi</t>
  </si>
  <si>
    <t>H0041 = אֲבִינָדָב</t>
  </si>
  <si>
    <t>Abinadab = "my father is noble" or "my father is willing"    1) a man of Gibeah who sheltered the ark    2) second son of Jesse, David's older brother    3) a son of Saul, slain with him by the Philistines</t>
  </si>
  <si>
    <t>Abinadab</t>
  </si>
  <si>
    <t>(a)   Abinadab; man from Kiriath Jearim; (b)   Abinadab; son of Jesse; brother of David; tribe of Judah; (c)   Abinadab; son of king Saul; tribe of Benjamin</t>
  </si>
  <si>
    <t>H0042 = אֲבִינֹ֫עַם</t>
  </si>
  <si>
    <t>Abinoam = "my father is delight"    1) father of Barak, descendant of Naphtali</t>
  </si>
  <si>
    <t>Abinoam</t>
  </si>
  <si>
    <t>Abinoam; father of Barak</t>
  </si>
  <si>
    <t>H0043 = אֶבְיָסָף, אֲבִיאָסָף</t>
  </si>
  <si>
    <t>Ebiasaph = "my father has gathered"    1) a son or descendant of Korah</t>
  </si>
  <si>
    <t>Ebiasaph</t>
  </si>
  <si>
    <t>Ebiasaph; son of Elkanah; descendant of Kohath; ancestor of Heman; tribe of Levi</t>
  </si>
  <si>
    <t>H0044 = אֲבִיעֶ֫זֶר</t>
  </si>
  <si>
    <t>Abiezer = "my father is help"    1) a Manassite, called "son" of Gilead, also son of Gilead's sister    2) a Benjamite, warrior of David</t>
  </si>
  <si>
    <t>Abiezer</t>
  </si>
  <si>
    <t>(a)   Abiezer; son of Hammolecheth; ancestor of clan; tribe of Manasseh; (b)   Abiezer; man</t>
  </si>
  <si>
    <t>H0045 = אֲבִי־עַלְבוֹן</t>
  </si>
  <si>
    <t>Abialbon = "El (God) is my father"    1) one of David's mighty men (hero)</t>
  </si>
  <si>
    <t>Abi-albon</t>
  </si>
  <si>
    <t>Abi-albon = "my father is God" or "my father is strong"  warrior in the time of king David</t>
  </si>
  <si>
    <t>H0046 = אָבִיר</t>
  </si>
  <si>
    <t>1) strong, mighty-used only to describe God    2) the Strong-old name for God (poetic)</t>
  </si>
  <si>
    <t>mighty</t>
  </si>
  <si>
    <t>mighty one; only used of God himself</t>
  </si>
  <si>
    <t>H0047 = אַבִּיר</t>
  </si>
  <si>
    <t>1) mighty, valiant    1a) of men    1b) of angels    1c) of animals    1d) (metaph)    1d1) of enemies    1d2) of princes    1d3) of sacrificial objects    1e) obstinate (fig.)</t>
  </si>
  <si>
    <t>(a)   horse; (b)   bull; (c)   strong, mighty person; (d)   leader, chief; (e)   stubborn</t>
  </si>
  <si>
    <t>H0048 = אֲבִירָם</t>
  </si>
  <si>
    <t>Abiram = "my father is exalted" or "(the) Exalted One is (my) father"    1) a Reubenite, son of Eliab in exodus    2) son of Hiel the Bethelite who worked to rebuild Jericho</t>
  </si>
  <si>
    <t>Abiram</t>
  </si>
  <si>
    <t>(a)   Abiram; man; tribe of Reuben; (b)   Abiram; son of Hiel</t>
  </si>
  <si>
    <t>H0049 = אֲבִישַׁג</t>
  </si>
  <si>
    <t>Abishag = "my father is a wanderer"    1) David's beautiful young nurse</t>
  </si>
  <si>
    <t>Abishag</t>
  </si>
  <si>
    <t>Abishag; concubine of David</t>
  </si>
  <si>
    <t>H0050 = אֲבִישׁוּעַ</t>
  </si>
  <si>
    <t>Abishua = "my father is rescue (safety), or is opulence"    1) son of Phinehas, grandson of Aaron</t>
  </si>
  <si>
    <t>Abishua</t>
  </si>
  <si>
    <t>(a)   Abishua; son of Phinehas; high-priest; tribe of Levi; (b)   Abishua; son of Bela; tribe of Benjamin</t>
  </si>
  <si>
    <t>H0051 = אֲבִישׁוּר</t>
  </si>
  <si>
    <t>Abishur = "my father is a wall"    1) son of Shammai, descendant of Judah</t>
  </si>
  <si>
    <t>Abishur</t>
  </si>
  <si>
    <t>Abishur; descendant of Jerahmeel; tribe of Judah</t>
  </si>
  <si>
    <t>H0052 = אֲבִישַׁי</t>
  </si>
  <si>
    <t>Abishai = "my father is Jesse" or "my father is a gift"    1) grandson of Jesse, nephew of David via his sister Zeruiah, brother of Joab</t>
  </si>
  <si>
    <t>Abishai</t>
  </si>
  <si>
    <t>Abishai; son of Zeruiah, sister of David; warrior</t>
  </si>
  <si>
    <t>H0053 = אֲבִישָׁלוֹם</t>
  </si>
  <si>
    <t>Absalom or Abishalom = "my father is peace"    1) father-in-law of Rehoboam    2) third son of David, killer of first-born son Amnon, also leader of revolt against his father-David</t>
  </si>
  <si>
    <t>Absalom</t>
  </si>
  <si>
    <t>Absalom; father of Maakah, wife of Rehoboam ; (a)   Absalom; son of David</t>
  </si>
  <si>
    <t>H0054 = אֶבְיָתָר</t>
  </si>
  <si>
    <t>Abiathar = "my father is great"    1) priest, son of Ahitub (Ahimelech), faithful to David, but later rebelled with Adonijah</t>
  </si>
  <si>
    <t>Abiathar</t>
  </si>
  <si>
    <t>Abiathar; son of Ahimelech; priest; time of king David</t>
  </si>
  <si>
    <t>H0055 = אָבַךְ</t>
  </si>
  <si>
    <t>1) to roll, turn    1a) (Hithpael) to roll, roll up, billow</t>
  </si>
  <si>
    <t>to roll up</t>
  </si>
  <si>
    <t>hitp.   to roll upward, whirl</t>
  </si>
  <si>
    <t>H0056 = אָבַל</t>
  </si>
  <si>
    <t>1) to mourn, lament    1a) (Qal) to mourn, lament    1a1) of humans    1a2) of inanimate objects (fig.)    1a2a) of gates    1a2b) of land    1b) (Hiphil)    1b1) to mourn, cause to mourn (fig.)    1c) (Hithpael)    1c1) to mourn    1c2) play the mourner</t>
  </si>
  <si>
    <t>to mourn</t>
  </si>
  <si>
    <t>(a) qal   to lament; (b) hitp.   to mourn; (c) hif.   to cause to mourn</t>
  </si>
  <si>
    <t>H0057 = אָבֵל</t>
  </si>
  <si>
    <t>1) mourning    1a) for the dead    1b) because of calamity    1c) of rites of mourning    2) mourner (subst.)    2a) for the dead    2b) for calamity</t>
  </si>
  <si>
    <t>mourning</t>
  </si>
  <si>
    <t>H0058 = אָבֵל</t>
  </si>
  <si>
    <t>1) meadow (from verb-to grow green, to withstand)</t>
  </si>
  <si>
    <t>meadow</t>
  </si>
  <si>
    <t>H0059 = אָבֵל</t>
  </si>
  <si>
    <t>1) city in northern Israel near Bethmaachah    2) the place where the ark rested in the field of Joshua at Bethshemesh</t>
  </si>
  <si>
    <t>Abel</t>
  </si>
  <si>
    <t>town; Naphtali</t>
  </si>
  <si>
    <t>H0060 = אֵ֫בֶל</t>
  </si>
  <si>
    <t>1) mourning    1a) for the dead    1b) for rites of mourning (metaph)    1c) mourning garb    1d) period of mourning</t>
  </si>
  <si>
    <t>H0061 = אֲבָל</t>
  </si>
  <si>
    <t>1) truly, verily, surely    2) but, however, howbeit    3) contrariwise, nay rather (neg.)</t>
  </si>
  <si>
    <t>truly</t>
  </si>
  <si>
    <t>(a) interjection   introducing a statement that may not be pleasing to the hearer; (b) conjunction   conjunction: but, however</t>
  </si>
  <si>
    <t>H0062 = אָבֵל בֵּית־מֲעַכָה</t>
  </si>
  <si>
    <t>Abel Beth Maachah = "meadow of the house of Maachah"    1) city in northern Israel near Beth Maachah</t>
  </si>
  <si>
    <t>Abel-beth-maachah</t>
  </si>
  <si>
    <t>Abel-Beth-Maacah; town; Naphtali</t>
  </si>
  <si>
    <t>H0063 = אָבֵל הַשִּׁטִּים</t>
  </si>
  <si>
    <t>Abel Shittim = "meadow of acacias"    1) place in lowlands of Moab</t>
  </si>
  <si>
    <t>Abel-shittim</t>
  </si>
  <si>
    <t>Abel-Shittim; town; east of the Jordan river</t>
  </si>
  <si>
    <t>H0064 = אָבֵל כְּרָמִים</t>
  </si>
  <si>
    <t>Abel Keramim = "meadow of the vineyards"    1) a place in Ammon</t>
  </si>
  <si>
    <t>Abel-keramim</t>
  </si>
  <si>
    <t>Abel-Keramim; town or village; Ammon</t>
  </si>
  <si>
    <t>H0065 = אָבֵל מְחוֹלָה</t>
  </si>
  <si>
    <t>Abel Meholah = "meadow of dancing"    1) a city of Issachar, birthplace of Elisha</t>
  </si>
  <si>
    <t>Abel-meholah</t>
  </si>
  <si>
    <t>Abel-Meholah; town; Gilead</t>
  </si>
  <si>
    <t>H0066 = אַבֵל מַיִם</t>
  </si>
  <si>
    <t>Abel Maim = "meadow of waters"    1) a city in northern Israel (perhaps Abel Beth Maachah)</t>
  </si>
  <si>
    <t>Abel-maim</t>
  </si>
  <si>
    <t>Abel-Maim; town; Naphtali</t>
  </si>
  <si>
    <t>H0067 = אָבֵל מִצְרַיִם</t>
  </si>
  <si>
    <t>Abel Mizraim = "meadow of Egypt"    1) a place east of the Jordan (perhaps "as fertile as Egypt")</t>
  </si>
  <si>
    <t>Abel-mizraim</t>
  </si>
  <si>
    <t>Abel-Mizraim; location; east of the Jordan</t>
  </si>
  <si>
    <t>H0068 = אֶ֫בֶן</t>
  </si>
  <si>
    <t>1) stone (large or small)    1a) common stone (in natural state)    1b) stone, as material    1b1) of tablets    1b2) marble, hewn stones    1c) precious stones, stones of fire    1d) stones containing metal (ore), tool for work or weapon    1e) weight    1f) plummet (stones of destruction) also made of metal    1g) stonelike objects, eg hailstones, stony heart, ice    1h) sacred object, as memorial Samuel set up to mark where God helped Israel to defeat the Philistines    1i) (simile)    1i1) sinking in water, motionlessness    1i2) strength, firmness, solidity    1i3) commonness    1j) (metaph)    1j1) petrified with terror    1j2) perverse, hard heart</t>
  </si>
  <si>
    <t>stone</t>
  </si>
  <si>
    <t>H0069 = אֶ֫בֶן</t>
  </si>
  <si>
    <t>1) stone    1a) a (the) stone    1b) stone, material of idols and buildings</t>
  </si>
  <si>
    <t>H0070 = אֹבֶן</t>
  </si>
  <si>
    <t>1) wheel, disc    1a) potter's wheel    1b) bearing-stool, midwife's stool</t>
  </si>
  <si>
    <t>wheel</t>
  </si>
  <si>
    <t>(a)   low seat, stool (used by midwives); (b)   potter's wheels</t>
  </si>
  <si>
    <t>H0071 = אֲבָנָה</t>
  </si>
  <si>
    <t>1) river Abana, Syrian river flowing through Damascus</t>
  </si>
  <si>
    <t>Abana</t>
  </si>
  <si>
    <t>H0072 = אֶבֶן הָעֵזֶר</t>
  </si>
  <si>
    <t>Ebenezer = "stone of help"    1) memorial stone erected by Samuel to mark where God helped Israel to defeat the Philistines-north of Jerusalem</t>
  </si>
  <si>
    <t>Eben-ezer</t>
  </si>
  <si>
    <t>Ebenezer; location</t>
  </si>
  <si>
    <t>H0073 = אַבְנֵט</t>
  </si>
  <si>
    <t>1) girdle, sash, waistband    1a) of high priest    1b) of other priests    1c) of high official</t>
  </si>
  <si>
    <t>girdle</t>
  </si>
  <si>
    <t>sash, girdle (worn on top of the tunic)</t>
  </si>
  <si>
    <t>H0074 = אֲבִינֵר</t>
  </si>
  <si>
    <t>Abner = "my father is a lamp"    1) Saul's cousin and army captain, treacherously slain by Joab</t>
  </si>
  <si>
    <t>Abner</t>
  </si>
  <si>
    <t>Abner; chief of army of Saul</t>
  </si>
  <si>
    <t>H0075 = אָבַס</t>
  </si>
  <si>
    <t>1) to feed, fatten    1a) (Qal) fattened (passive participle)</t>
  </si>
  <si>
    <t>to fatten</t>
  </si>
  <si>
    <t>qal   to fatten</t>
  </si>
  <si>
    <t>H0076 = אֲבַעְבֻּעֹת</t>
  </si>
  <si>
    <t>1) blisters, boils (from root, to swell up)</t>
  </si>
  <si>
    <t>boil</t>
  </si>
  <si>
    <t>blisters, vesicles</t>
  </si>
  <si>
    <t>H0077 = אֶ֫בֶץ</t>
  </si>
  <si>
    <t>Abez = "I will make white (or miry)"    1) a city in Issachar</t>
  </si>
  <si>
    <t>Abez</t>
  </si>
  <si>
    <t>Ebez; town; territory of Issachar</t>
  </si>
  <si>
    <t>H0078 = אִבְצָן</t>
  </si>
  <si>
    <t>Ibzan, "their whiteness (literally their tin - as white"    1) a Bethlehemite judge in time of the judges</t>
  </si>
  <si>
    <t>Ibzan</t>
  </si>
  <si>
    <t>Ibzan; judge of Israel</t>
  </si>
  <si>
    <t>H0079 = אָבַק</t>
  </si>
  <si>
    <t>1) (Niphal) to wrestle, grapple (get dusty), bedust</t>
  </si>
  <si>
    <t>to wrestle</t>
  </si>
  <si>
    <t>nif.   to wrestle</t>
  </si>
  <si>
    <t>H0080 = אָבָק</t>
  </si>
  <si>
    <t>1) dust    1a) on ground    1b) clouds (fig.)</t>
  </si>
  <si>
    <t>dust</t>
  </si>
  <si>
    <t>fine dust</t>
  </si>
  <si>
    <t>H0081 = אֲבָקָה</t>
  </si>
  <si>
    <t>1) aromatic powders, powder</t>
  </si>
  <si>
    <t>aromatic powder</t>
  </si>
  <si>
    <t>fragrant powders</t>
  </si>
  <si>
    <t>H0082 = אָבַר</t>
  </si>
  <si>
    <t>1) (Hiphil) to fly (to move wings)</t>
  </si>
  <si>
    <t>to fly</t>
  </si>
  <si>
    <t>to fly, soar, mount upward</t>
  </si>
  <si>
    <t>H0083 = אֵ֫בֶר</t>
  </si>
  <si>
    <t>1) pinion, wing    1a) of bird (dove, eagle)    1b) of Babylonian king (fig.)</t>
  </si>
  <si>
    <t>wing</t>
  </si>
  <si>
    <t>wing, feather</t>
  </si>
  <si>
    <t>H0084 = אֶבְרָה</t>
  </si>
  <si>
    <t>1) pinion, wing    1a) of bird (ostrich, eagle, dove)    1b) of God (metaph)</t>
  </si>
  <si>
    <t>feather</t>
  </si>
  <si>
    <t>wing feather, pinion</t>
  </si>
  <si>
    <t>H0085 = אַבְרָהָם</t>
  </si>
  <si>
    <t>Abraham = "father of a multitude" or "chief of multitude"    1) friend of God and founder of Hebrew nation via God's elective covenant</t>
  </si>
  <si>
    <t>Abraham</t>
  </si>
  <si>
    <t>Abraham; son of Terah; ancestor of Israel</t>
  </si>
  <si>
    <t>H0086 = אַבְרֵךְ</t>
  </si>
  <si>
    <t>1) (meaning dubious) -a shout made to announce Joseph's chariot    1a) command    1b) bow</t>
  </si>
  <si>
    <t>to bow</t>
  </si>
  <si>
    <t>bow down!</t>
  </si>
  <si>
    <t>H0087 = אַבְרָם</t>
  </si>
  <si>
    <t>Abram = "exalted father"    1) original name of Abraham</t>
  </si>
  <si>
    <t>Abram</t>
  </si>
  <si>
    <t>Abram; son of Terah; ancestor of Israel</t>
  </si>
  <si>
    <t>H0088 = אֹבֹת</t>
  </si>
  <si>
    <t>Oboth = "waterskins"    1) undetermined site of an Israelite camp in the wilderness (perhaps at east boundary of Moab)</t>
  </si>
  <si>
    <t>Oboth</t>
  </si>
  <si>
    <t>Oboth; location along route of exodus</t>
  </si>
  <si>
    <t>H0089 = אָגֵא</t>
  </si>
  <si>
    <t>Agee = "I shall increase"    1) father of a warrior of David</t>
  </si>
  <si>
    <t>Agee</t>
  </si>
  <si>
    <t>Agee; father of Shammah, warrior, time of king David</t>
  </si>
  <si>
    <t>H0090 = אֲגָג</t>
  </si>
  <si>
    <t>Agag = "I will overtop"    1) king of Amalek, spared by Saul but slain by Samuel</t>
  </si>
  <si>
    <t>Agag</t>
  </si>
  <si>
    <t>(a)   Agag; man; (b)   Agag; king of Amalek</t>
  </si>
  <si>
    <t>H0091 = אֲגָגִי</t>
  </si>
  <si>
    <t>Agagite = "I will overtop"    1) said of Haman, Haman the Agagite</t>
  </si>
  <si>
    <t>Agagite</t>
  </si>
  <si>
    <t>Agagite; descendant of Agag</t>
  </si>
  <si>
    <t>H0092 = אֲגֻדָּה</t>
  </si>
  <si>
    <t>1) band, binding    1a) cords, bands, thongs (metaphorical of slavery)    1b) bunch of hyssop    1c) band of men, troops    1d) vault (of the heavens), firmament (binding earth to the heavens)</t>
  </si>
  <si>
    <t>something tied</t>
  </si>
  <si>
    <t>something tied, band, bundle, the expanse of the heavens (the firmament is bound to the earth)</t>
  </si>
  <si>
    <t>H0093 = אֱגוֹז</t>
  </si>
  <si>
    <t>1) nuts</t>
  </si>
  <si>
    <t>nut</t>
  </si>
  <si>
    <t>walnut</t>
  </si>
  <si>
    <t>H0094 = אָגוּר</t>
  </si>
  <si>
    <t>Agur = "gathered"    1) son of Jakeh, an author or compiler of &lt;ref="Pro.30.1-33"&gt;Pr 30:1-33&lt;/ref&gt;</t>
  </si>
  <si>
    <t>Agur</t>
  </si>
  <si>
    <t>Agur = "gathered, he that gathers"  son of Jakeh; wise man</t>
  </si>
  <si>
    <t>H0095 = אֲגוֹרָה</t>
  </si>
  <si>
    <t>1) payment, piece, coin</t>
  </si>
  <si>
    <t>piece</t>
  </si>
  <si>
    <t>piece (of silver)</t>
  </si>
  <si>
    <t>H0096 = אֵ֫גֶל</t>
  </si>
  <si>
    <t>1) drop, reserve supply, collections, stores</t>
  </si>
  <si>
    <t>drop</t>
  </si>
  <si>
    <t>drop(s of dew)</t>
  </si>
  <si>
    <t>H0097 = אֶגְלַ֫יִם</t>
  </si>
  <si>
    <t>Eglaim = "double reservoir"    1) a town in Moab</t>
  </si>
  <si>
    <t>Eglaim</t>
  </si>
  <si>
    <t>Eglaim; town; Moab</t>
  </si>
  <si>
    <t>H0098 = אֲגַם</t>
  </si>
  <si>
    <t>1) pool, troubled pool    1a) troubled or muddy (gloomy) pools, marshes    1b) any pool, pond    1c) swamp reeds, reeds, rush(es)</t>
  </si>
  <si>
    <t>pool</t>
  </si>
  <si>
    <t>pond, marsh, place of reeds, canes or rushes</t>
  </si>
  <si>
    <t>H0099 = אָגֵם</t>
  </si>
  <si>
    <t>1) stagnant pond</t>
  </si>
  <si>
    <t>grieved</t>
  </si>
  <si>
    <t>grieved (in soul)</t>
  </si>
  <si>
    <t>H0100 = אַגְמֹן</t>
  </si>
  <si>
    <t>1) rush, bulrush    1a) used as cord or line (of twisted rushes or spun of rush fibre)    1b) of the lowly, insignificant (metaph)    2) sad, drooping    1a) of line of bulrushes    1b) bowing of the head (fig.)    1c) of the lowly (metaph)</t>
  </si>
  <si>
    <t>bulrush</t>
  </si>
  <si>
    <t>rush or reed, cord made from reeds, hot, swampy pond where reeds grow</t>
  </si>
  <si>
    <t>H0101 = אַגָּן</t>
  </si>
  <si>
    <t>1) bowl, basins    1a) basins used in ritual    1b) human body (metaph), curves of the body (simile)    1c) of family of Eliakim (metaph)</t>
  </si>
  <si>
    <t>vessel</t>
  </si>
  <si>
    <t>cup, bowl or basin that has raised sides to contain something</t>
  </si>
  <si>
    <t>H0102 = אֲגַף</t>
  </si>
  <si>
    <t>1) wing (of an army), band, army, hordes</t>
  </si>
  <si>
    <t>band</t>
  </si>
  <si>
    <t>band, company, wing of an army</t>
  </si>
  <si>
    <t>H0103 = אָגַר</t>
  </si>
  <si>
    <t>1) to gather    1a) (Qal) to gather</t>
  </si>
  <si>
    <t>to gather</t>
  </si>
  <si>
    <t>qal   to gather in</t>
  </si>
  <si>
    <t>H0104 = אִגְּרָא</t>
  </si>
  <si>
    <t>1) letter, missive (Aramaic loan-word used in last OT books)</t>
  </si>
  <si>
    <t>letter</t>
  </si>
  <si>
    <t>H0105 = אֲגַרְטָל</t>
  </si>
  <si>
    <t>1) vessel, basket, leather bag, basin</t>
  </si>
  <si>
    <t>basin</t>
  </si>
  <si>
    <t>dish</t>
  </si>
  <si>
    <t>H0106 = אֶגְרֹף</t>
  </si>
  <si>
    <t>1) fist</t>
  </si>
  <si>
    <t>fist</t>
  </si>
  <si>
    <t>H0107 = אִגֶּ֫רֶת</t>
  </si>
  <si>
    <t>1) letter, missive</t>
  </si>
  <si>
    <t>H0108 = אֵד</t>
  </si>
  <si>
    <t>1) mist</t>
  </si>
  <si>
    <t>mist</t>
  </si>
  <si>
    <t>exhalation, vapour (of the ground)</t>
  </si>
  <si>
    <t>H0109 = אָדַב</t>
  </si>
  <si>
    <t>1) to grieve, cause grief    1a) (Hiph) to cause to grieve, to grieve, to cause grief</t>
  </si>
  <si>
    <t>to grieve</t>
  </si>
  <si>
    <t>to grieve, languish, faint or pine</t>
  </si>
  <si>
    <t>H0110 = אַדְבְּאֵל</t>
  </si>
  <si>
    <t>Adbeel = "chastened of God"    1) third son of Ishmael and grandson of Abraham</t>
  </si>
  <si>
    <t>Adbeel</t>
  </si>
  <si>
    <t>Adbeel = "miracle of God", "chastened of God" or "finger of God"   son of Ishmael</t>
  </si>
  <si>
    <t>H0111 = אֲדַד</t>
  </si>
  <si>
    <t>Hadad = "I shall move softly: I shall love"    1) an Edomite enemy God raised up to punish Solomon for his sins</t>
  </si>
  <si>
    <t>Hadad</t>
  </si>
  <si>
    <t>Hadad = "powerful, fierce?"  son or descendant of king of Edom</t>
  </si>
  <si>
    <t>H0112 = אִדּוֹ</t>
  </si>
  <si>
    <t>Iddo = "I will praise him"    1) a chief Israelite during resettlement</t>
  </si>
  <si>
    <t>Iddo</t>
  </si>
  <si>
    <t>Iddo; man; tribe of Levi; time of Ezra</t>
  </si>
  <si>
    <t>H0113 = אָדוֹן</t>
  </si>
  <si>
    <t>1) firm, strong, lord, master    1a) lord, master    1a1) reference to men    1a1a) superintendent of household, of affairs    1a1b) master    1a1c) king    1a2) reference to God    1a2a) the Lord God    1a2b) Lord of the whole earth    1b) lords, kings    1b1) reference to men    1b1a) proprietor of hill of Samaria    1b1b) master    1b1c) husband    1b1d) prophet    1b1e) governor    1b1f) prince    1b1g) king    1b2) reference to God    1b2a) Lord of lords (probably = "thy husband, Yahweh")    1c) my lord, my master    1c1) reference to men    1c1a) master    1c1b) husband    1c1c) prophet    1c1d) prince    1c1e) king    1c1f) father    1c1g) Moses    1c1h) priest    1c1i) theophanic angel    1c1j) captain    1c1k) general recognition of superiority    1c2) reference to God    1c2a) my Lord, my Lord and my God    1c2b) Adonai (parallel with Yahweh)</t>
  </si>
  <si>
    <t>lord</t>
  </si>
  <si>
    <t>lord, master, owner</t>
  </si>
  <si>
    <t>H0114 = אַדּוֹן</t>
  </si>
  <si>
    <t>Addon = "powerful"    1) an Israelite?</t>
  </si>
  <si>
    <t>Addon</t>
  </si>
  <si>
    <t>Addon = "powerful"   town; Chaldea</t>
  </si>
  <si>
    <t>H0115 = אֲדוֹרַ֫יִם</t>
  </si>
  <si>
    <t>Adoraim = "double glory"    1) city in Judah fortified by Rehoboam about 5 miles or 8 km SW of Hebron</t>
  </si>
  <si>
    <t>Adoraim</t>
  </si>
  <si>
    <t>Adoraim = "two mounds", "two princes" or "double honor"    town; Judah</t>
  </si>
  <si>
    <t>H0116 = אֱדַ֫יִן</t>
  </si>
  <si>
    <t>1) then, afterwards, thereupon, from that time</t>
  </si>
  <si>
    <t>then</t>
  </si>
  <si>
    <t>then, afterwards, thereupon, from that time</t>
  </si>
  <si>
    <t>H0117 = אַדִּיר</t>
  </si>
  <si>
    <t>1) great, majestic    1a) of waters of sea    1b) of a tree    1c) of kings, nations, gods    2) great one, majestic one    2a) of nobles, chieftains, servants</t>
  </si>
  <si>
    <t>great</t>
  </si>
  <si>
    <t>large, very great, mighty (of waves, ships; psa 93:4); powerful (of kings, nations, gods; ezk 32:18); magnificent, glorious (psa 8:2);</t>
  </si>
  <si>
    <t>H0118 = אֲדַלְיָא</t>
  </si>
  <si>
    <t>Adalia = "I shall be drawn up of Jah"    1) fifth son of Haman, executed at same time</t>
  </si>
  <si>
    <t>Adalia</t>
  </si>
  <si>
    <t>Adalia = "heart?", "eagle?" or "upright?"    son of Haman</t>
  </si>
  <si>
    <t>H0119 = אָדֹם</t>
  </si>
  <si>
    <t>1) to be red, red    1a) (Qal) ruddy (of Nazarites)    1b) (Pual)    1b1) to be rubbed red    1b2) dyed red    1b3) reddened    1c) (Hiphil)    1c1) to cause to show red    1c2) to glare    1c3) to emit (show) redness    1d) (Hithpael)    1d1) to redden    1d2) to grow red    1d3) to look red</t>
  </si>
  <si>
    <t>to redden</t>
  </si>
  <si>
    <t>(a) qal   to be red, ruddy = beautiful; (b) pu.   to be dyed red; (c) hitp.   to be red, sparkle (of wine in a cup); (d) hif.   to be red</t>
  </si>
  <si>
    <t>H0120 = אָדָם</t>
  </si>
  <si>
    <t>1) man, mankind    1a) man, human being    1b) man, mankind (much more frequently intended sense in OT)    1c) Adam, first man    1d) city in Jordan valley</t>
  </si>
  <si>
    <t>man</t>
  </si>
  <si>
    <t>(1)   man; mankind; person, anyone; (2a)   Adam; first man; (2b)   Adam; location</t>
  </si>
  <si>
    <t>H0121 = אָדָם</t>
  </si>
  <si>
    <t>Adam = "red"    1) first man    2) city in Jordan valley</t>
  </si>
  <si>
    <t>Adam</t>
  </si>
  <si>
    <t>Adam = "man or mankind", "red or ruddy"     the first man,  a city near Jordan</t>
  </si>
  <si>
    <t>H0122a = אָדֹם</t>
  </si>
  <si>
    <t>1) red, ruddy (of man, horse, heifer, garment, water, lentils) 1) name of a condiment</t>
  </si>
  <si>
    <t>red</t>
  </si>
  <si>
    <t>(something) red, ruddy or red stuff</t>
  </si>
  <si>
    <t>H0122b = אֱדֹם</t>
  </si>
  <si>
    <t>1) name of a condiment</t>
  </si>
  <si>
    <t>red stuff</t>
  </si>
  <si>
    <t>(something) red, ruddy</t>
  </si>
  <si>
    <t>H0123 = אֱדוֹם</t>
  </si>
  <si>
    <t>Edom = "red"    1) Edom    2) Edomite, Idumean-descendants of Esau    3) land of Edom, Idumea-land south and south east of Palestine</t>
  </si>
  <si>
    <t>Edom</t>
  </si>
  <si>
    <t>Edom = "red"   Edom, brother of Jacob, people, land; descendants of Esau</t>
  </si>
  <si>
    <t>H0124 = אֹ֫דֶם</t>
  </si>
  <si>
    <t>1) ruby, carnelian (redness)    1a) precious stone</t>
  </si>
  <si>
    <t>sardius</t>
  </si>
  <si>
    <t>red precious stone; KB TEV NIV ruby; LXX sardion; RSV sardius; NEB sardin;</t>
  </si>
  <si>
    <t>H0125 = אֲדַמְדָּם</t>
  </si>
  <si>
    <t>1) reddish, be reddish</t>
  </si>
  <si>
    <t>reddish</t>
  </si>
  <si>
    <t>H0126 = אַדְמָה</t>
  </si>
  <si>
    <t>Admah = "red earth"    1) city in the Siddim valley</t>
  </si>
  <si>
    <t>Admah</t>
  </si>
  <si>
    <t>Admah = "red earth"  a city in the valley of the Dead sea destroyed together with Sodom and Gomorrah</t>
  </si>
  <si>
    <t>H0127 = אֲדָמָה</t>
  </si>
  <si>
    <t>1) ground, land    1a) ground (as general, tilled, yielding sustenance)    1b) piece of ground, a specific plot of land    1c) earth substance (for building or constructing)    1d) ground as earth's visible surface    1e) land, territory, country    1f) whole inhabited earth    1g) city in Naphtali</t>
  </si>
  <si>
    <t>land</t>
  </si>
  <si>
    <t>(1)   earth; dust; land, region, country; ground, land, field</t>
  </si>
  <si>
    <t>H0128 = אֲדָמָה</t>
  </si>
  <si>
    <t>Adamah = "the earth"    1) city in Naphtali</t>
  </si>
  <si>
    <t>Adamah</t>
  </si>
  <si>
    <t>(2)   Adamah; fortified town; territory of Naphtali</t>
  </si>
  <si>
    <t>H0129 = אֲדָמִי הַנֶּ֫קֶב</t>
  </si>
  <si>
    <t>Adami = "man of Adar"    1) a pass or fortified place in Naphtali</t>
  </si>
  <si>
    <t>Adami Nekeb</t>
  </si>
  <si>
    <t>Adami Nekeb; town; Naphtali</t>
  </si>
  <si>
    <t>H0130 = אֲדֹמִי</t>
  </si>
  <si>
    <t>1) Edomite</t>
  </si>
  <si>
    <t>Edomite</t>
  </si>
  <si>
    <t>Edomite; descendant or inhabitant of Edom</t>
  </si>
  <si>
    <t>H0131 = אֲדֻמִּים</t>
  </si>
  <si>
    <t>Adummim = "ruddy one: quieted ones?"    1) pass or ridge of hills, west of Gilgal</t>
  </si>
  <si>
    <t>Adummim</t>
  </si>
  <si>
    <t>Adummim; ascent, pass; between Jerusalem and Jericho</t>
  </si>
  <si>
    <t>H0132 = אַדְמוֹנִי</t>
  </si>
  <si>
    <t>1) red, ruddy (of Esau as infant)</t>
  </si>
  <si>
    <t>H0133 = אַדְמָתָא</t>
  </si>
  <si>
    <t>Admatha = "a testimony to them"    1) prince of Persia in reign of Ahasuerus (Xerxes)</t>
  </si>
  <si>
    <t>Admatha</t>
  </si>
  <si>
    <t>Admatha; adviser of Ahasuerus</t>
  </si>
  <si>
    <t>H0134 = אֶ֫דֶן</t>
  </si>
  <si>
    <t>1) base, pedestal, socket (strong, firm)    1a) pedestals of gold on which marble pillars were set    1b) pedestals of the earth, foundation of the earth    1c) pedestals, bases, or sockets on which tabernacle stood</t>
  </si>
  <si>
    <t>socket</t>
  </si>
  <si>
    <t>pedestal, sock</t>
  </si>
  <si>
    <t>H0135 = אַדָּן</t>
  </si>
  <si>
    <t>Addan = "strong, firm"    1) place in Babylon, from which exiles returned</t>
  </si>
  <si>
    <t>Addan</t>
  </si>
  <si>
    <t>Addan; town; Chaldea</t>
  </si>
  <si>
    <t>H0136 = אֲדֹנָי</t>
  </si>
  <si>
    <t>1) my lord, lord    1a) of men    1b) of God    2) Lord-title, spoken in place of Yahweh in Jewish display of reverence</t>
  </si>
  <si>
    <t>Lord</t>
  </si>
  <si>
    <t>Lord, Master; = God</t>
  </si>
  <si>
    <t>H0137 = אֲדֹנִי־בֶ֫זֶק</t>
  </si>
  <si>
    <t>Adoni-Bezek = "my lord is Besek"    1) king of the Canaanite city of Bezek, killed by Israelites</t>
  </si>
  <si>
    <t>Adoni-bezek</t>
  </si>
  <si>
    <t>Adoni-Bezek; king of Bezek; time of judges</t>
  </si>
  <si>
    <t>H0138 = אֲדֹנִיָּ֫הוּ</t>
  </si>
  <si>
    <t>Adonijah = "my lord is Jehovah"    1) fourth son of David and Solomon's rival for the throne    2) Levite sent by Jehoshaphat to teach the Law    3) a chief of the people who co-operated with Nehemiah</t>
  </si>
  <si>
    <t>Adonijah</t>
  </si>
  <si>
    <t>(a) אֲדֹנִיָּהוּ   Adonijah; son of David; (b)   Adonijah; man; time of Nehemiah \Adonijah; Levite; time of king Jehoshaphat</t>
  </si>
  <si>
    <t>H0139 = אֲדֹנִי־צֶ֫דֶק</t>
  </si>
  <si>
    <t>Adoni-zedek = "my lord is righteous"    1) Canaanite king slain by Joshua</t>
  </si>
  <si>
    <t>Adoni-zedek</t>
  </si>
  <si>
    <t>Adoni-Zedek; king of Jerusalem; time of Joshua</t>
  </si>
  <si>
    <t>H0140 = אֲדֹנִיקָם</t>
  </si>
  <si>
    <t>Adonikam = "my lord arose"    1) the head of an Israelite clan who returned from exile</t>
  </si>
  <si>
    <t>Adonikam</t>
  </si>
  <si>
    <t>Adonikam; family head; after exile</t>
  </si>
  <si>
    <t>H0141 = אֲדֹנִירָם</t>
  </si>
  <si>
    <t>Adoniram = "my lord is exalted"    1) one of Solomon's officers</t>
  </si>
  <si>
    <t>Adoniram</t>
  </si>
  <si>
    <t>Adoniram; son of Abda; official; time of kings David and Solomon</t>
  </si>
  <si>
    <t>H0142 = אָדַר</t>
  </si>
  <si>
    <t>1) to be great, be majestic, wide, noble (poetic)    1a) (Niphal) majestic, glorious (participle)    1b) (Hiphil) make glorious</t>
  </si>
  <si>
    <t>be glorious</t>
  </si>
  <si>
    <t>(a) nif.   participle: glorious; (b) hif.   to make powerful, glorious</t>
  </si>
  <si>
    <t>H0143 = אֲדָר</t>
  </si>
  <si>
    <t>Adar = "glorious"    1) twelfth month, corresponding to modern March-April</t>
  </si>
  <si>
    <t>Adar</t>
  </si>
  <si>
    <t>name of month; post-exilic; February/March</t>
  </si>
  <si>
    <t>H0144 = אֲדָר</t>
  </si>
  <si>
    <t>Adar = "glorious"    1) twelfth month, corresponding to modern March or April</t>
  </si>
  <si>
    <t>H0145 = אֶ֫דֶר</t>
  </si>
  <si>
    <t>1) glory, magnificence    2) mantle, cloak (as wide)</t>
  </si>
  <si>
    <t>robe</t>
  </si>
  <si>
    <t>(1)   might, splendour ; (2)   state-coat</t>
  </si>
  <si>
    <t>H0146 = אַדָּר</t>
  </si>
  <si>
    <t>Addar or Adar = "exceeding glorious"    1) son of Bela and Benjamin's grandson    2) city in Judah near Edom</t>
  </si>
  <si>
    <t>Addar</t>
  </si>
  <si>
    <t>(a) חֲצַר־אַדָּר   Adar; town; Judah; (b) אַרָדָּ   Adar; son of Bela; tribe of Benjamin</t>
  </si>
  <si>
    <t>H0147 = אִדַּר</t>
  </si>
  <si>
    <t>1) threshing floor</t>
  </si>
  <si>
    <t>threshing floor</t>
  </si>
  <si>
    <t>H0148 = אֲדַרְגָּזֵר</t>
  </si>
  <si>
    <t>1) judge (diviner), counsellor</t>
  </si>
  <si>
    <t>judge</t>
  </si>
  <si>
    <t>H0149 = אַדְרַזְדָּא</t>
  </si>
  <si>
    <t>1) correctly, exactly, diligently, earnestly</t>
  </si>
  <si>
    <t>diligently</t>
  </si>
  <si>
    <t>H0150 = אֲדַרְכֹּן</t>
  </si>
  <si>
    <t>1) drachma, dram, daric-unit of weight and value (of gold, money) equal to 128 grains or 4.32 grams</t>
  </si>
  <si>
    <t>dram</t>
  </si>
  <si>
    <t>daric</t>
  </si>
  <si>
    <t>H0151 = אֲדֹרָם</t>
  </si>
  <si>
    <t>Adoram = "my lord is exalted"    1) an officer of David    2) an officer of Rehoboam</t>
  </si>
  <si>
    <t>Adoram</t>
  </si>
  <si>
    <t>Adoram; son of Abda; official; time of kings David and Solomon</t>
  </si>
  <si>
    <t>H0152 = אַדְרַמֶּ֫לֶךְ</t>
  </si>
  <si>
    <t>Adrammelech = "honour of the king" or "Adar is prince" or "Adar is Counsellor, Decider"    1) an idol or god of the Sepharvites, introduced to Israel by Shalmaneser the fifth    2) the son and murderer of Sennacherib</t>
  </si>
  <si>
    <t>Adrammelech</t>
  </si>
  <si>
    <t>(a)   Adrammelech; god of Sepharvaim; (b)   Adrammelech; son of Sennacherib, king of Assyria</t>
  </si>
  <si>
    <t>H0153 = אֶדְרַע</t>
  </si>
  <si>
    <t>1) strong, force, arm, power</t>
  </si>
  <si>
    <t>force</t>
  </si>
  <si>
    <t>H0154 = אֶדְרֶ֫עִי</t>
  </si>
  <si>
    <t>Edrei = "goodly pasture"    1) a chief city of Bashan, north of Jabbok river</t>
  </si>
  <si>
    <t>Edrei</t>
  </si>
  <si>
    <t>(a)   Edrei; town; Bashan, Manasseh; (b)   Edrei; fortified town; territory of Naphtali</t>
  </si>
  <si>
    <t>H0155 = אַדֶּ֫רֶת</t>
  </si>
  <si>
    <t>1) glory, cloak    1a) glory, splendour, magnificence (of a vine, shepherds)    1b) mantle, cloak made of fur or fine material    1b1) prophet's garment</t>
  </si>
  <si>
    <t>clothing</t>
  </si>
  <si>
    <t>(a)   cloak, mantle, robe; (b)   state of being glorious</t>
  </si>
  <si>
    <t>H0156 = אָדַשׁ</t>
  </si>
  <si>
    <t>1) (Qal) to tread, tread on, thresh, trample on</t>
  </si>
  <si>
    <t>to thresh</t>
  </si>
  <si>
    <t>qal   to thresh</t>
  </si>
  <si>
    <t>H0157 = אָהֵב</t>
  </si>
  <si>
    <t>1) to love    1a) (Qal)    1a1) human love for another, includes family, and sexual    1a2) human appetite for objects such as food, drink, sleep, wisdom    1a3) human love for or to God    1a4) act of being a friend    1a4a) lover (participle)    1a4b) friend (participle)    1a5) God's love toward man    1a5a) to individual men    1a5b) to people Israel    1a5c) to righteousness    1b) (Niphal)    1b1) lovely (participle)    1b2) loveable (participle)    1c) (Piel)    1c1) friends    1c2) lovers (fig. of adulterers)    2) to like</t>
  </si>
  <si>
    <t>to love</t>
  </si>
  <si>
    <t>qal   to love\nif. (causative)</t>
  </si>
  <si>
    <t>H0158 = אַ֫הַב</t>
  </si>
  <si>
    <t>1) loves, amours (only in plural) ahbym    2) (TWOT) love</t>
  </si>
  <si>
    <t>lover</t>
  </si>
  <si>
    <t>(a) plural   love; (b)   object of love</t>
  </si>
  <si>
    <t>H0159 = אֹ֫הַב</t>
  </si>
  <si>
    <t>1) loved object    2) (TWOT) love</t>
  </si>
  <si>
    <t>beloved</t>
  </si>
  <si>
    <t>(a)   lover; (b)   love \friend</t>
  </si>
  <si>
    <t>H0160 = אַהֲבָה</t>
  </si>
  <si>
    <t>1) love    1a) human love for human object    1a1) of man toward man    1a2) of man toward himself    1a3) between man and woman    1a4) sexual desire    2) God's love to His people</t>
  </si>
  <si>
    <t>love</t>
  </si>
  <si>
    <t>H0161 = אֹ֫הַד</t>
  </si>
  <si>
    <t>Ohad = "united"    1) son of Simeon and grandson of Jacob</t>
  </si>
  <si>
    <t>Ohad</t>
  </si>
  <si>
    <t>Ohad; son of Simeon</t>
  </si>
  <si>
    <t>H0162 = אֲהָהּ</t>
  </si>
  <si>
    <t>1) alas!, oh!, ah!</t>
  </si>
  <si>
    <t>alas!</t>
  </si>
  <si>
    <t>interjection   ah!</t>
  </si>
  <si>
    <t>H0163 = אַהֲוָא</t>
  </si>
  <si>
    <t>Ahava = "I shall subsist"    1) town or area in Babylonia</t>
  </si>
  <si>
    <t>Ahava</t>
  </si>
  <si>
    <t>Ahava; location and river; Chaldea</t>
  </si>
  <si>
    <t>H0164 = אֵהוּד</t>
  </si>
  <si>
    <t>Ehud = "I will give thanks: I will be praised" or "undivided, union" in (&lt;ref="1Ch.8.6"&gt;1Ch. 8:6&lt;/ref&gt;) only    1) Benjamite judge of Israel, deliverer of Israel from Moab    2) another Benjamite, son of Bilhan (&lt;ref="1Ch.8.6"&gt;1Ch 8:6&lt;/ref&gt;)</t>
  </si>
  <si>
    <t>Ehud</t>
  </si>
  <si>
    <t>(a)   Ehud; judge of Israel ; (b)   Ehud; son of Bilhan; tribe of Benjamin</t>
  </si>
  <si>
    <t>H0165 = אֱהִי</t>
  </si>
  <si>
    <t>1) where</t>
  </si>
  <si>
    <t>where?</t>
  </si>
  <si>
    <t>question word   where?</t>
  </si>
  <si>
    <t>H0166 = אָהַל</t>
  </si>
  <si>
    <t>1) (Hiphil) to be clear, shine</t>
  </si>
  <si>
    <t>to shine</t>
  </si>
  <si>
    <t>pi. (= qal); (b) hif.   to shine</t>
  </si>
  <si>
    <t>H0167 = אָהַל</t>
  </si>
  <si>
    <t>1) to pitch a tent, to move a tent    1a) (Qal) pitch or remove a tent    1a) (Piel) to pitch one's tent</t>
  </si>
  <si>
    <t>to pitch</t>
  </si>
  <si>
    <t>(a) qal   to pitch a tent</t>
  </si>
  <si>
    <t>H0168 = אֹ֫הֶל</t>
  </si>
  <si>
    <t>1) tent    1a) nomad's tent, and thus symbolic of wilderness life, transience    1b) dwelling, home, habitation    1c) the sacred tent of Jehovah (the tabernacle)</t>
  </si>
  <si>
    <t>tent</t>
  </si>
  <si>
    <t>(1a)   tent; house, habitation of any kind; tabernacle</t>
  </si>
  <si>
    <t>H0169 = אֹ֫הֶל</t>
  </si>
  <si>
    <t>Ohel = "tent"    1) son of Zerubbabel</t>
  </si>
  <si>
    <t>Ohel</t>
  </si>
  <si>
    <t>(1b)   Tent of Meeting; other name for tabernacle; (2)   Ohel; son of Zerubbabel; tribe of Judah</t>
  </si>
  <si>
    <t>H0170 = אׇהֳלָה</t>
  </si>
  <si>
    <t>Aholah = "her own tent"    1) Samaria as an adulteress with Assyria (metaph)</t>
  </si>
  <si>
    <t>Aholah</t>
  </si>
  <si>
    <t>Oholah; woman; symbol of Samaria</t>
  </si>
  <si>
    <t>H0171 = אׇהֳלִיאָב</t>
  </si>
  <si>
    <t>Aholiab = "Father's tent"    1) chief assistant of Bezaleel in construction of the tabernacle</t>
  </si>
  <si>
    <t>Aholiab</t>
  </si>
  <si>
    <t>Oholiab; son of Ahisamach; craftsman working on tabernacle; tribe of Dan</t>
  </si>
  <si>
    <t>H0172 = אׇהֳלִיבָה</t>
  </si>
  <si>
    <t>Aholibah = "woman of the tent" or "the tent is in her"    1) (metaph) Jerusalem as adulterous wife of Jehovah</t>
  </si>
  <si>
    <t>Aholibah</t>
  </si>
  <si>
    <t>Oholibah; woman; symbol of Jerusalem</t>
  </si>
  <si>
    <t>H0173 = אׇהֳלִיבָמָה</t>
  </si>
  <si>
    <t>Aholibamah = "tent of the high place"    1) wife of Esau    2) an Edomite chieftain</t>
  </si>
  <si>
    <t>Aholibamah</t>
  </si>
  <si>
    <t>(a)   Oholibamah; daughter of Anah; wife of Esau; (b)   Oholibamah; chief of Edom</t>
  </si>
  <si>
    <t>H0174 = אָהָל</t>
  </si>
  <si>
    <t>1) aloes, aloe tree    1a) aloe tree    1b) aloe (perfume)</t>
  </si>
  <si>
    <t>aloe</t>
  </si>
  <si>
    <t>aloes; an aromatic resin, from the Aquilaria ahallocha (eaglewood), a large tree which may reach a height of 36 m.; it is native to south-east Asia and northern India</t>
  </si>
  <si>
    <t>H0175 = אַהֲרֹן</t>
  </si>
  <si>
    <t>Aaron = "light bringer"    1) brother of Moses, a Levite and the first high priest</t>
  </si>
  <si>
    <t>Aaron</t>
  </si>
  <si>
    <t>Aaron; brother of Moses; first high-priest; tribe of Levi</t>
  </si>
  <si>
    <t>H0176a = אוֹ</t>
  </si>
  <si>
    <t>1) or, rather    1a) implying that the latter choice is preferred    1b) or if, introducing an example to be seen under a particular principle    1c) (in series) either...or, whether...or    1d) if perchance    1e) except, or else    2) whether, not the least, if, otherwise, also, and, then</t>
  </si>
  <si>
    <t>or</t>
  </si>
  <si>
    <t>conjunction: or</t>
  </si>
  <si>
    <t>H0176b = אוֹ</t>
  </si>
  <si>
    <t>1) desire</t>
  </si>
  <si>
    <t>H0177 = אוּאֵל</t>
  </si>
  <si>
    <t>Uel = "wish or will of God"    1) a Judean who had taken a foreign woman during the exile</t>
  </si>
  <si>
    <t>Uel</t>
  </si>
  <si>
    <t>Uel; descendant of Bani; time of Ezra</t>
  </si>
  <si>
    <t>H0178 = אוֹב</t>
  </si>
  <si>
    <t>1) water skin bottle    2) necromancer    1b) necromancer, one who evokes the dead    1c) ghost, spirit of a dead one    1d) practice of necromancy    3) one that has a familiar spirit</t>
  </si>
  <si>
    <t>medium</t>
  </si>
  <si>
    <t>(a)   bag (for wine; made of a goatskin the outer side of which has been turned inside); (b)   spirit; necromancy, necromancer</t>
  </si>
  <si>
    <t>H0179 = אוֹבִיל</t>
  </si>
  <si>
    <t>Obil = "camel driver"    1) manager of David's camels</t>
  </si>
  <si>
    <t>Obil</t>
  </si>
  <si>
    <t>Obil; official; time of David</t>
  </si>
  <si>
    <t>H0180 = אוּבַל</t>
  </si>
  <si>
    <t>1) stream, river</t>
  </si>
  <si>
    <t>river</t>
  </si>
  <si>
    <t>water-course, canal</t>
  </si>
  <si>
    <t>H0181 = אוּד</t>
  </si>
  <si>
    <t>1) brand, fire brand</t>
  </si>
  <si>
    <t>firebrand</t>
  </si>
  <si>
    <t>piece of firewood</t>
  </si>
  <si>
    <t>H0182 = אוֹדָה</t>
  </si>
  <si>
    <t>1) cause    1a) cause, reason for    1b) the occasion of</t>
  </si>
  <si>
    <t>because</t>
  </si>
  <si>
    <t>(a)   on account of; (b)   for the very reason that</t>
  </si>
  <si>
    <t>H0183 = אָוָה</t>
  </si>
  <si>
    <t>1) desire, incline, covet, wait longingly, wish, sigh, want, be greedy, prefer    1a) (Piel) to desire, crave (food and drink)    1b) (Hithpael) to desire, long for, lust after (of bodily appetites)</t>
  </si>
  <si>
    <t>to desire</t>
  </si>
  <si>
    <t>(a) pi.   to long for; (b) hitp.   to long for</t>
  </si>
  <si>
    <t>H0184 = אָוָה</t>
  </si>
  <si>
    <t>1) to sign, mark, describe with a mark    1a) (Hithpael) to measure, mark out, mark you out</t>
  </si>
  <si>
    <t>to mark</t>
  </si>
  <si>
    <t>H0185 = אַוָּה</t>
  </si>
  <si>
    <t>1) desire, lust, will (not necessarily evil)</t>
  </si>
  <si>
    <t>longing</t>
  </si>
  <si>
    <t>H0186 = אוּזַי</t>
  </si>
  <si>
    <t>Uzai = "I shall have my sprinklings"    1) a Judean, one of the repairers of Jerusalem's walls</t>
  </si>
  <si>
    <t>Uzai</t>
  </si>
  <si>
    <t>Uzai; father of Palal; time of Nehemiah</t>
  </si>
  <si>
    <t>H0187 = אוּזָל</t>
  </si>
  <si>
    <t>Uzal = "I shall be flooded"    1) sixth son Joktan</t>
  </si>
  <si>
    <t>Uzal</t>
  </si>
  <si>
    <t>Uzal; son of Joktan; descendant of Shem</t>
  </si>
  <si>
    <t>H0188 = אוֹי</t>
  </si>
  <si>
    <t>1) woe! alas! oh!    1a) passionate cry of grief or despair</t>
  </si>
  <si>
    <t>woe!</t>
  </si>
  <si>
    <t>interjection   woe!</t>
  </si>
  <si>
    <t>H0189 = אֱוִי</t>
  </si>
  <si>
    <t>Evi = "my desire"    1) one of five chiefs of Midian</t>
  </si>
  <si>
    <t>Evi</t>
  </si>
  <si>
    <t>Evi; king of Midian</t>
  </si>
  <si>
    <t>H0190 = אוֹיָה</t>
  </si>
  <si>
    <t>1) woe!</t>
  </si>
  <si>
    <t>interjection   alas!</t>
  </si>
  <si>
    <t>H0191 = אֱוִיל</t>
  </si>
  <si>
    <t>1) be foolish, foolish    1a) (subst)    1a1) of one who despises wisdom    1a2) of one who mocks when guilty    1a3) of one who is quarrelsome    1a4) of one who is licentious</t>
  </si>
  <si>
    <t>fool(ish)</t>
  </si>
  <si>
    <t>foolish, helpless</t>
  </si>
  <si>
    <t>H0192 = אֱוִיל מְרֹדַךְ</t>
  </si>
  <si>
    <t>Evil Merodach = "man of Merodach"    1) son and successor of Nebuchadnezzar, king of Neo-Babylonian empire, 562-560 BC</t>
  </si>
  <si>
    <t>Evil-merodach</t>
  </si>
  <si>
    <t>Evil-Merodach; king of Babylon</t>
  </si>
  <si>
    <t>H0193a = אוּל</t>
  </si>
  <si>
    <t>1) prominence    1a) body, belly (contemptuous)</t>
  </si>
  <si>
    <t>&gt;body?</t>
  </si>
  <si>
    <t>H0193b = אוּל</t>
  </si>
  <si>
    <t>1) nobles, wealthy men</t>
  </si>
  <si>
    <t>H0194 = אוּלַי</t>
  </si>
  <si>
    <t>1) perhaps, peradventure    2) if peradventure    3) unless    4) suppose</t>
  </si>
  <si>
    <t>perhaps</t>
  </si>
  <si>
    <t>conjunction: perhaps</t>
  </si>
  <si>
    <t>H0195 = אוּלַי</t>
  </si>
  <si>
    <t>Ulai = "my leaders (mighties)"    1) river of Elam</t>
  </si>
  <si>
    <t>Ulai</t>
  </si>
  <si>
    <t>Ulai; river; Persia</t>
  </si>
  <si>
    <t>H0196 = אֱוִלִי</t>
  </si>
  <si>
    <t>1) foolish</t>
  </si>
  <si>
    <t>foolish</t>
  </si>
  <si>
    <t>H0197 = אוּלָם</t>
  </si>
  <si>
    <t>1) porch    1a) in Solomon's temple    1b) in Solomon's palace    1c) in temple of Ezekiel's vision</t>
  </si>
  <si>
    <t>porch</t>
  </si>
  <si>
    <t>(1a)   porch</t>
  </si>
  <si>
    <t>H0198 = אוּלָם</t>
  </si>
  <si>
    <t>Ulam = "their leader: vestibule"    1) a Manassite    2) a Benjamite of Saul's family</t>
  </si>
  <si>
    <t>Ulam</t>
  </si>
  <si>
    <t>(1b)   only; (2a)   Ulam; son of Peresh; tribe of Manasseh; (2b)   Ulam; son of Eshek; tribe of Benjamin</t>
  </si>
  <si>
    <t>H0199 = אוּלָם</t>
  </si>
  <si>
    <t>1) but, but indeed (a strong adversative)    2) however, nevertheless</t>
  </si>
  <si>
    <t>but</t>
  </si>
  <si>
    <t>H0200 = אִוֶּ֫לֶת</t>
  </si>
  <si>
    <t>1) foolishness, folly</t>
  </si>
  <si>
    <t>folly</t>
  </si>
  <si>
    <t>H0201 = אוֹמָר</t>
  </si>
  <si>
    <t>Omar = "speaker" or "eloquent"    1) grandson of Esau</t>
  </si>
  <si>
    <t>Omar</t>
  </si>
  <si>
    <t>Omar; son of Eliphaz, son of Esau</t>
  </si>
  <si>
    <t>H0202 = אוֹן</t>
  </si>
  <si>
    <t>1) vigour, generative power    2) wealth    3) physical strength (of men and behemoth)</t>
  </si>
  <si>
    <t>strength</t>
  </si>
  <si>
    <t>H0203 = אוֹן</t>
  </si>
  <si>
    <t>On = "wealth" or "vigour"    1) a chief of the tribe of Reuben</t>
  </si>
  <si>
    <t>On</t>
  </si>
  <si>
    <t>H0204 = אֹן</t>
  </si>
  <si>
    <t>On = "strength or vigour"    1) city in lower Egypt, bordering land of Goshen, centre of sun-worship, residence of Potipherah (priest of On and father-in-law of Joseph)</t>
  </si>
  <si>
    <t>H0205 = אָ֫וֶן</t>
  </si>
  <si>
    <t>1) trouble, wickedness, sorrow    1a) trouble, sorrow    1b) idolatry    1c) trouble of iniquity, wickedness</t>
  </si>
  <si>
    <t>evil</t>
  </si>
  <si>
    <t>mischief, evil</t>
  </si>
  <si>
    <t>H0206 = אָ֫וֶן</t>
  </si>
  <si>
    <t>Aven = "vanity"    1) a name used contemptuously for the following places of idolatrous worship    1a) a city in Egypt, possibly On (&lt;ref="Ezk.30.17"&gt;Eze 30:17&lt;/ref&gt;)    1b) Bethel with its calf worship (&lt;ref="Hos.10.8"&gt;Ho 10:8&lt;/ref&gt;)    1c) A town or region in Syria (&lt;ref="Amo.1.5"&gt;Am 1:5&lt;/ref&gt;)</t>
  </si>
  <si>
    <t>Aven</t>
  </si>
  <si>
    <t>(1)   power, wealth; (2a) בֵּית־שֶׁמֶשׁ   On; town; Egypt; (2b)   On; son of Peleth; tribe of Reuben</t>
  </si>
  <si>
    <t>H0207 = אוֹנוֹ</t>
  </si>
  <si>
    <t>Ono = "vigorous"    1) city in Benjamin    2) a valley (of craftsman)</t>
  </si>
  <si>
    <t>Ono</t>
  </si>
  <si>
    <t>Ono; town; territory of Benjamin</t>
  </si>
  <si>
    <t>H0208 = אוֹנָם</t>
  </si>
  <si>
    <t>Onam = "vigorous"    1) a Horite chief, grandson of Seir    2) son Jerahmeel, a chief of Judah</t>
  </si>
  <si>
    <t>Onam</t>
  </si>
  <si>
    <t>(a)   Onam; son of Shobal, son of Seir; (b)   Onam; son of Jerahmeel; tribe of Judah</t>
  </si>
  <si>
    <t>H0209 = אוֹנָן</t>
  </si>
  <si>
    <t>Onan = "strong"    1) second son of Judah, slain by God for not fulfilling the levitical requirement to beget a child with the wife of a dead, childless brother</t>
  </si>
  <si>
    <t>Onan</t>
  </si>
  <si>
    <t>Onan; son of Judah</t>
  </si>
  <si>
    <t>H0210 = אוּפָז</t>
  </si>
  <si>
    <t>Uphaz = "desire of fine gold"    1) a place famous for its gold (site unknown)</t>
  </si>
  <si>
    <t>Uphaz</t>
  </si>
  <si>
    <t>Uphaz; land</t>
  </si>
  <si>
    <t>H0211 = אוֹפִיר</t>
  </si>
  <si>
    <t>Ophir = "reducing to ashes"    1) eleventh son of Joktan    2) a land or city in southern Arabia in Solomon's trade route where gold evidently was traded for goods    3) characteristic of fine gold    4) fine gold</t>
  </si>
  <si>
    <t>Ophir</t>
  </si>
  <si>
    <t>Ophir; son of Joktan; descendant of Shem; land</t>
  </si>
  <si>
    <t>H0212 = אוֹפָן</t>
  </si>
  <si>
    <t>1) wheel    1a) chariot wheel    1b) wheel in Ezekiel's vision    1c) wheels of the ten bases beneath the lavers in Solomon's temple</t>
  </si>
  <si>
    <t>H0213 = אוּץ</t>
  </si>
  <si>
    <t>1) to press, be pressed, make haste, urge, be narrow    1a) (Qal)    1a1) to press, hasten    1a2) to be pressed, confined, narrow    1a3) to hasten, make haste    1a4) be narrow    1b) (Hiphil)    1b1) to urge, insist    1b2) to hasten</t>
  </si>
  <si>
    <t>to hasten</t>
  </si>
  <si>
    <t>(a) qal   to press, hasten; (b) qal   to be narrow; (c) hif.   to urge</t>
  </si>
  <si>
    <t>H0214 = אוֹצָר</t>
  </si>
  <si>
    <t>1) treasure, storehouse    1a) treasure (gold, silver, etc)    1b) store, supplies of food or drink    1c) treasure-house, treasury    1c1) treasure-house    1c2) storehouse, magazine    1c3) treasury    1c4) magazine of weapons (fig. of God's armoury)    1c5) storehouses (of God for rain, snow, hail, wind, sea)</t>
  </si>
  <si>
    <t>treasure</t>
  </si>
  <si>
    <t>store</t>
  </si>
  <si>
    <t>H0215 = אוֹר</t>
  </si>
  <si>
    <t>1) to be or become light, shine    1a) (Qal)    1a1) to become light (day)    1a2) to shine (of the sun)    1a3) to become bright    1b) (Niphal)    1b1) to be illuminated    1b2) to become lighted up    1c) (Hiphil)    1c1) to give light, shine (of sun, moon, and stars)    1c2) to illumine, light up, cause to shine, shine    1c3) to kindle, light (candle, wood)    1c4) lighten (of the eyes, his law, etc)    1c5) to make shine (of the face)</t>
  </si>
  <si>
    <t>to light</t>
  </si>
  <si>
    <t>(a) qal   to shine; (b) nif.   to become bright; (c) hif.   to enlighten; to illuminate; to give light</t>
  </si>
  <si>
    <t>H0216 = אוֹר</t>
  </si>
  <si>
    <t>1) light    1a) light of day    1b) light of heavenly luminaries (moon, sun, stars)    1c) day-break, dawn, morning light    1d) daylight    1e) lightning    1f) light of lamp    1g) light of life    1h) light of prosperity    1i) light of instruction    1j) light of face (fig.)    1k) Jehovah as Israel's light</t>
  </si>
  <si>
    <t>light</t>
  </si>
  <si>
    <t>(a)   light, prosperity; (b)   mallow</t>
  </si>
  <si>
    <t>H0217a = אוּר</t>
  </si>
  <si>
    <t>1) flame, light of fire</t>
  </si>
  <si>
    <t>flame</t>
  </si>
  <si>
    <t>fire</t>
  </si>
  <si>
    <t>H0217b = אֻרִים</t>
  </si>
  <si>
    <t>1) region of light, East</t>
  </si>
  <si>
    <t>region of light</t>
  </si>
  <si>
    <t>H0218a = אוּר</t>
  </si>
  <si>
    <t>Ur = "flame"    n pr m    1) father of one of David's heroes</t>
  </si>
  <si>
    <t>Ur</t>
  </si>
  <si>
    <t>Ur; father of Eliphal, warrior, time of king David</t>
  </si>
  <si>
    <t>H0218b = אוּר</t>
  </si>
  <si>
    <t>Ur = "flame"    n pr loc    1) city in southern Babylonia, city of the Chaldeans, centre of moon worship, home of Abraham's father, Terah, and departure point for the Abraham's migration to Mesopotamia and Canaan</t>
  </si>
  <si>
    <t>Ur; town; Mesopotamia</t>
  </si>
  <si>
    <t>H0219a = אוֹרָה</t>
  </si>
  <si>
    <t>1) light    2) light of joy and happiness (fig.)</t>
  </si>
  <si>
    <t>(a)   light; (b); (c)   vida</t>
  </si>
  <si>
    <t>H0219b = אוֹרָה</t>
  </si>
  <si>
    <t>herb</t>
  </si>
  <si>
    <t>H0220 = אֲוֵרָה</t>
  </si>
  <si>
    <t>1) manger, stall, crib</t>
  </si>
  <si>
    <t>stall</t>
  </si>
  <si>
    <t>stables, stall</t>
  </si>
  <si>
    <t>H0221 = אוּרִי</t>
  </si>
  <si>
    <t>Uri = "fiery"    1) a prince of Judah, a son of Hur who was used by God to prepare the tabernacle    2) an officer (or the father of an officer) of Solomon in Gilead    3) a porter or gatekeeper in time of Ezra who took a foreign woman as wife</t>
  </si>
  <si>
    <t>Uri</t>
  </si>
  <si>
    <t>(a)   Uri; father of Bezalel; (b)   Uri; father of Geber, district governor; time of Solomon; (c)   Uri; gatekeeper; tribe of Levi</t>
  </si>
  <si>
    <t>H0222 = אוּרִיאֵל</t>
  </si>
  <si>
    <t>Uriel = "God (El) is my light"    1) chief of the Levitical line of Kohath in David's time    2) maternal grandfather of Abijah</t>
  </si>
  <si>
    <t>Uriel</t>
  </si>
  <si>
    <t>(a)   Uriel; son of Tahath; descendant of Kohath; tribe of Levi; (b)   Uriel; father of Micaiah, wife of Rehoboam</t>
  </si>
  <si>
    <t>H0223a = אוּרִיָּה</t>
  </si>
  <si>
    <t>Uriah or Urijah = "Jehovah (Yahweh) is my light (flame)"    1) Hittite husband of Bathsheba    2) a priest who built king Ahaz' heathen altar    3) a priest who rebuilt Jerusalem's wall</t>
  </si>
  <si>
    <t>Uriah</t>
  </si>
  <si>
    <t>(a)   Uriah; Hittite; warrior; husband of Bathsheba; time of David</t>
  </si>
  <si>
    <t>H0223b = אוּרִיָּ֫הוּ</t>
  </si>
  <si>
    <t>Uriah or Urijah = "Jehovah (Yahweh) is my light (flame)"    1) a prophet slain by Jehoiakim</t>
  </si>
  <si>
    <t>Urijah</t>
  </si>
  <si>
    <t>(b)   Uriah; priest; time of king Ahaz; (c)   Uriah; father of Meremoth, priest, after exile; (d)   Uriah; man; tribe of Levi; after exile \Uriah; son of Shemaiah; false prophet; time of Jeremiah</t>
  </si>
  <si>
    <t>H0224 = אוּרִים</t>
  </si>
  <si>
    <t>Urim = "lights"    1) stones kept in a pouch on the high-priest's breastplate, used in determining God's decision in certain questions and issues</t>
  </si>
  <si>
    <t>Urim</t>
  </si>
  <si>
    <t>H0225 = אוּת</t>
  </si>
  <si>
    <t>1) (Niphal) to consent, agree</t>
  </si>
  <si>
    <t>to consent</t>
  </si>
  <si>
    <t>qal   to consent</t>
  </si>
  <si>
    <t>H0226 = אוֹת</t>
  </si>
  <si>
    <t>1) sign, signal    1a) a distinguishing mark    1b) banner    1c) remembrance    1d) miraculous sign    1e) omen    1f) warning    2) token, ensign, standard, miracle, proof</t>
  </si>
  <si>
    <t>sign</t>
  </si>
  <si>
    <t>mark, sign</t>
  </si>
  <si>
    <t>H0227a = אָז</t>
  </si>
  <si>
    <t>1) then, at that time    1a) temporal expressions    1a1) then (past)    1a2) then, if...then (future)    1a3) earlier    1b) logical expressions    1b1) in that case    1b2) that (being so)</t>
  </si>
  <si>
    <t>H0227b = מֵאָז</t>
  </si>
  <si>
    <t>1)in time past, of old    2)from time of, since</t>
  </si>
  <si>
    <t>the past</t>
  </si>
  <si>
    <t>a time in the past</t>
  </si>
  <si>
    <t>H0228 = אֲזָא</t>
  </si>
  <si>
    <t>1) (P'al) make hot, heat</t>
  </si>
  <si>
    <t>to heat</t>
  </si>
  <si>
    <t>H0229 = אֶזְבָּ֑י</t>
  </si>
  <si>
    <t>Ezbai = "my humblings"    1) father of one of David's mighty men</t>
  </si>
  <si>
    <t>Ezbai</t>
  </si>
  <si>
    <t>Ezbai; father of Naarai, warrior, time of king David</t>
  </si>
  <si>
    <t>H0230 = אַזְדָּא</t>
  </si>
  <si>
    <t>1) (P'al) to be gone</t>
  </si>
  <si>
    <t>gone</t>
  </si>
  <si>
    <t>H0231 = אֵזוֹב</t>
  </si>
  <si>
    <t>1) hyssop, a plant used for medicinal and religious purposes</t>
  </si>
  <si>
    <t>hyssop</t>
  </si>
  <si>
    <t>hyssop (origanum maru); plant with a shrub-like base and stems which are erect, stiff and strong. When it grows from the ground it reaches a height of just under one meter. It may also spring out of crevices in walls, cliffs and rocks. Its leaves and branches are hairy, and its flowers white. The plant is aromatic, and the dried leaves are used as a condiments in Israel and Egypt, where it grows. It belongs to the mint family. The leaves and little branches, when collected in bunches, were suitable for sprinkling purposes, as the hairy surface would hold the liquid. For this reason the plant was used in the ritual purification of the Jews.</t>
  </si>
  <si>
    <t>H0232 = אֵזוֹר</t>
  </si>
  <si>
    <t>1) waist-cloth, the innermost piece of clothing    1a) of God's power over kings (fig.)    1b) of faithfulness (metaph)    2) waistband</t>
  </si>
  <si>
    <t>loincloth</t>
  </si>
  <si>
    <t>H0233 = אֲזַי</t>
  </si>
  <si>
    <t>1) then, in that case</t>
  </si>
  <si>
    <t>H0234 = אַזְכָּרָה</t>
  </si>
  <si>
    <t>1) memorial-offering, the portion of the meal (food) offering which is burned</t>
  </si>
  <si>
    <t>memorial</t>
  </si>
  <si>
    <t>memorial or token portion; the part of the grain offering that is burnt on the altar as a reminder that in fact all of it belongs to the Lord</t>
  </si>
  <si>
    <t>H0235 = אָזַל</t>
  </si>
  <si>
    <t>1) to go, to go away, to go about    1a) (Qal)    1a1) to go away    1a2) to go about    1a3) to be used up, be exhausted, be gone, evaporated    1b) (Pual) to go to and fro</t>
  </si>
  <si>
    <t>be gone</t>
  </si>
  <si>
    <t>qal   to go away</t>
  </si>
  <si>
    <t>H0236 = אֲזַל</t>
  </si>
  <si>
    <t>1) to go, to go off    1a) (P'al) to go, go off</t>
  </si>
  <si>
    <t>to go</t>
  </si>
  <si>
    <t>H0237 = אֶזֶל</t>
  </si>
  <si>
    <t>Ezel = "departure"    1) a memorial stone between Ramah and Nob; scene of final farewell between David and Jonathan</t>
  </si>
  <si>
    <t>Ezel</t>
  </si>
  <si>
    <t>H0238 = אָזַן</t>
  </si>
  <si>
    <t>1) to hear, listen    1a) (Hiphil)    1a1) to hear, listen, give ear    1a2) to be obedient, harken    1a3) to hear or listen to prayers (of God)</t>
  </si>
  <si>
    <t>to listen</t>
  </si>
  <si>
    <t>(b) hif.   to listen</t>
  </si>
  <si>
    <t>H0239 = אָזַן</t>
  </si>
  <si>
    <t>1) (Piel) weigh, test, prove, consider</t>
  </si>
  <si>
    <t>to ponder</t>
  </si>
  <si>
    <t>(a) pi.   to ponder?</t>
  </si>
  <si>
    <t>H0240 = אָזֵן</t>
  </si>
  <si>
    <t>1) tools, implements, weapons</t>
  </si>
  <si>
    <t>weapon</t>
  </si>
  <si>
    <t>tool</t>
  </si>
  <si>
    <t>H0241 = אֹ֫זֶן</t>
  </si>
  <si>
    <t>1) ear, as part of the body    2) ear, as organ of hearing    3) (subjective) to uncover the ear to reveal; the receiver of divine revelation</t>
  </si>
  <si>
    <t>ear</t>
  </si>
  <si>
    <t>H0242 = אֻזֵּן שֶׁאֱרָה</t>
  </si>
  <si>
    <t>Uzzen Sherah = "portion of Sherah"    1) city built by Sherah, Ephraim's daughter</t>
  </si>
  <si>
    <t>Uzzen-sheerah</t>
  </si>
  <si>
    <t>Uzzen-Sheerah; town; built by Sheerah, daughter of Ephraim</t>
  </si>
  <si>
    <t>H0243 = אַזְנוֹת תָּבוֹר</t>
  </si>
  <si>
    <t>Aznoth Tabor = "peaks of Tabor"    1) a pair of hills on Naphtali's border</t>
  </si>
  <si>
    <t>Aznoth-tabor</t>
  </si>
  <si>
    <t>Aznoth-Tabor; location; territory of Naphtali</t>
  </si>
  <si>
    <t>H0244a = אׇזְנִי</t>
  </si>
  <si>
    <t>Ozni = "my ear (hearing)"    n pr m    1) son of Gad</t>
  </si>
  <si>
    <t>Ozni</t>
  </si>
  <si>
    <t>(a)   Ozni; son of Gad;</t>
  </si>
  <si>
    <t>H0244b = אׇזְנִי</t>
  </si>
  <si>
    <t>Oznite = "my ear (hearing)"    n pr m    1) pertaining to Ozni and his descendants</t>
  </si>
  <si>
    <t>Oznite</t>
  </si>
  <si>
    <t>Oznite; descendant of Ozni; tribe of Gad</t>
  </si>
  <si>
    <t>H0245 = אֲזַנְיָ֫הוּ</t>
  </si>
  <si>
    <t>Azaniah = "Jehovah (Yahweh) hears"    1) the father of Jeshua, a Levite</t>
  </si>
  <si>
    <t>Azaniah</t>
  </si>
  <si>
    <t>Azaniah; father of Jeshua, Levite, after exile</t>
  </si>
  <si>
    <t>H0246 = אֲזֵק</t>
  </si>
  <si>
    <t>1) chains, manacles</t>
  </si>
  <si>
    <t>chains</t>
  </si>
  <si>
    <t>fetters</t>
  </si>
  <si>
    <t>H0247 = אָזַר</t>
  </si>
  <si>
    <t>1) gird, encompass, equip, clothe    1a) (Qal) to gird, gird on (metaphorical of strength)    1b) (Niphal) be girded    1c)(Piel) hold close, clasp    1d) (Hiphpael) gird oneself (for war)</t>
  </si>
  <si>
    <t>to gird</t>
  </si>
  <si>
    <t>(a) qal   to gird about; (b) nif.   to be girded; (c) pi.   to gird; (d) hitp.   to gird oneself</t>
  </si>
  <si>
    <t>H0248 = אֶזְרוֹעַ</t>
  </si>
  <si>
    <t>1) arm</t>
  </si>
  <si>
    <t>arm</t>
  </si>
  <si>
    <t>H0249 = אֶזְרָח</t>
  </si>
  <si>
    <t>1) a native (one rising from the soil)    1a) of man, native Israelites    1b) of tree, native (to Israel)</t>
  </si>
  <si>
    <t>born</t>
  </si>
  <si>
    <t>native</t>
  </si>
  <si>
    <t>H0250 = אֶזְרָחִי</t>
  </si>
  <si>
    <t>Ezraite = "a native (as arising out of the soil)"    1) Ezrahite, of the family of Zerach</t>
  </si>
  <si>
    <t>Ezrahite</t>
  </si>
  <si>
    <t>Ezrahite; descendant of Zerah; tribe of Judah</t>
  </si>
  <si>
    <t>H0251 = אָח</t>
  </si>
  <si>
    <t>1) brother    1a) brother of same parents    1b) half-brother (same father)    1c) relative, kinship, same tribe    1d) each to the other (reciprocal relationship)    1e) (fig.) of resemblance</t>
  </si>
  <si>
    <t>brother</t>
  </si>
  <si>
    <t>(a)   brother</t>
  </si>
  <si>
    <t>H0252 = אַח</t>
  </si>
  <si>
    <t>1) brother</t>
  </si>
  <si>
    <t>H0253 = אָח</t>
  </si>
  <si>
    <t>1) ah!, alas!, woe!</t>
  </si>
  <si>
    <t>ah!</t>
  </si>
  <si>
    <t>(b) interjection   alas!</t>
  </si>
  <si>
    <t>H0254 = אָח</t>
  </si>
  <si>
    <t>1) fire-pot, brazier</t>
  </si>
  <si>
    <t>hearth</t>
  </si>
  <si>
    <t>fire-pot, brazier</t>
  </si>
  <si>
    <t>H0255 = אֹחַ</t>
  </si>
  <si>
    <t>1) howling animal    1a) jackal    1b) hyena</t>
  </si>
  <si>
    <t>howling animal</t>
  </si>
  <si>
    <t>eagle owl</t>
  </si>
  <si>
    <t>H0256 = אַחְאָב</t>
  </si>
  <si>
    <t>Ahab = "father's brother"    1) king of Israel, son of Omri, husband of Jezebel    2) false prophet executed by Nebuchadrezzar, time of Jeremiah</t>
  </si>
  <si>
    <t>Ahab</t>
  </si>
  <si>
    <t>(a)   Ahab; son of Omri; king of Israel (874/73-853); (b) אֶחָב   Ahab; false prophet; time of Jeremiah</t>
  </si>
  <si>
    <t>H0257 = אַחְבָן</t>
  </si>
  <si>
    <t>Ahban = "brother of an understanding (intelligent) one"    1) son of Abishur of Judah</t>
  </si>
  <si>
    <t>Ahban</t>
  </si>
  <si>
    <t>Ahban; descendant of Jerahmeel; tribe of Judah</t>
  </si>
  <si>
    <t>H0258 = אָחַד</t>
  </si>
  <si>
    <t>1) (Hithpael) to go one way or another, to be sharp</t>
  </si>
  <si>
    <t>to go either way</t>
  </si>
  <si>
    <t>H0259 = אֶחָד</t>
  </si>
  <si>
    <t>1) one (number)    1a) one (number)    1b) each, every    1c) a certain    1d) an (indefinite article)    1e) only, once, once for all    1f) one...another, the one...the other, one after another, one by one    1g) first    1h) eleven (in combination), eleventh (ordinal)</t>
  </si>
  <si>
    <t>one</t>
  </si>
  <si>
    <t>numeral   one</t>
  </si>
  <si>
    <t>H0260 = אָחוּ</t>
  </si>
  <si>
    <t>1) reeds, marsh plants, rushes</t>
  </si>
  <si>
    <t>grass, reeds</t>
  </si>
  <si>
    <t>H0261 = אֵחוּד</t>
  </si>
  <si>
    <t>Ehud = "united"    1) great grandson of Benjamin</t>
  </si>
  <si>
    <t>Ehud; man; tribe of Benjamin</t>
  </si>
  <si>
    <t>H0262 = אַחְוָה</t>
  </si>
  <si>
    <t>1) declaration</t>
  </si>
  <si>
    <t>declaration</t>
  </si>
  <si>
    <t>H0263 = אַחֲוָיָה</t>
  </si>
  <si>
    <t>1) declaration, a declaring</t>
  </si>
  <si>
    <t>explanation</t>
  </si>
  <si>
    <t>H0264 = אַחֲוָה</t>
  </si>
  <si>
    <t>1) fraternity, brotherhood</t>
  </si>
  <si>
    <t>brotherhood</t>
  </si>
  <si>
    <t>H0265 = אֲחוֹחַ</t>
  </si>
  <si>
    <t>Ahoah = "brother of rest"    1) a grandson of Benjamin</t>
  </si>
  <si>
    <t>Ahoah</t>
  </si>
  <si>
    <t>Ahoah; son of Bela; tribe of Benjamin</t>
  </si>
  <si>
    <t>H0266 = אֲחוֹחִי</t>
  </si>
  <si>
    <t>Ahohite = "brother of rest"    1) one of the clan of Ahoah</t>
  </si>
  <si>
    <t>Ahohite</t>
  </si>
  <si>
    <t>Ahohite; descendant of Ahoah; tribe of Benjamin</t>
  </si>
  <si>
    <t>H0267 = אֲחוּמַי</t>
  </si>
  <si>
    <t>Ahumai = "a water reed: brother of waters"    1) grandson of Shobal, descendant of Judah</t>
  </si>
  <si>
    <t>Ahumai</t>
  </si>
  <si>
    <t>Ahumai; son of Jahath; tribe of Judah</t>
  </si>
  <si>
    <t>H0268 = אָחוֹר</t>
  </si>
  <si>
    <t>1) the back side, the rear    1a) backwards    1b) hereafter (of time)    1c) behind</t>
  </si>
  <si>
    <t>back</t>
  </si>
  <si>
    <t>back; behind; west; afterwards</t>
  </si>
  <si>
    <t>H0269 = אָחוֹת</t>
  </si>
  <si>
    <t>1) sister    1a) sister (same parents)    1b) half-sister (same father)    1c) relative    1c1)(metaph) of Israel's and Judah's relationship    1d) beloved    1d1) bride    1e) (fig.) of intimate connection    1f) another</t>
  </si>
  <si>
    <t>sister</t>
  </si>
  <si>
    <t>H0270 = אָחַז</t>
  </si>
  <si>
    <t>1) grasp, take hold, seize, take possession    1a) (Qal) to grasp, take hold of    1b) (Niphal) to be caught, grasped, be settled    1c) (Piel) to enclose, overlay    1d) (Hophal) fastened</t>
  </si>
  <si>
    <t>to grasp</t>
  </si>
  <si>
    <t>(a) qal   to seize; (b)   to bolt; (c) nif.   to be seized; (d) pi.   to shut up; (e) hof.   to be attached</t>
  </si>
  <si>
    <t>H0271 = אָחָז</t>
  </si>
  <si>
    <t>Ahaz = "he has grasped"    1) king of Judah, son Jotham, father of Hezekiah    2) a Benjamite, son of Micah, and great grandson of Jonathan</t>
  </si>
  <si>
    <t>Ahaz</t>
  </si>
  <si>
    <t>(a)   Ahaz; son of Jotam; king of Judah (732/31-716/15); (b)   Ahaz; son of Micah; tribe of Benjamin</t>
  </si>
  <si>
    <t>H0272 = אֲחֻזָּה</t>
  </si>
  <si>
    <t>1) possession, property    1a) land    1b) possession by inheritance</t>
  </si>
  <si>
    <t>possession</t>
  </si>
  <si>
    <t>H0273 = אַחְזַי</t>
  </si>
  <si>
    <t>Ahasai = "my holder, protector"    1) a post-exilic priest, in Jerusalem</t>
  </si>
  <si>
    <t>Ahzai</t>
  </si>
  <si>
    <t>Ahzai; son of Meshillemoth (Meshillemith); ancestor of Amashsai (Maasai), priest</t>
  </si>
  <si>
    <t>H0274 = אֲחַזְיָ֫הוּ</t>
  </si>
  <si>
    <t>Ahaziah = "Jehovah (Yahu) holds (possesses)"    1) ruler of Israel, son of Ahab    2) ruler of Judah, son of Jehoram (Joram)</t>
  </si>
  <si>
    <t>Ahaziah</t>
  </si>
  <si>
    <t>(a) אֲחַזְיָהוּ   Ahaziah; son of Ahab; king of Israel ; (b) יְהוֹאָחָז ,אֲחַזְיָהוּ   Ahaziah; son of Joram; king of Judah</t>
  </si>
  <si>
    <t>H0275 = אֲחֻזָּם</t>
  </si>
  <si>
    <t>Ahuzam = "possessor"    1) a descendant of Judah through Caleb</t>
  </si>
  <si>
    <t>Ahuzzam</t>
  </si>
  <si>
    <t>Ahuzzam; son of Ashhur; tribe of Judah</t>
  </si>
  <si>
    <t>H0276 = אֲחֻזַּת</t>
  </si>
  <si>
    <t>Ahuzzath = "possession"    1) friend of Abimelech</t>
  </si>
  <si>
    <t>Ahuzzath</t>
  </si>
  <si>
    <t>Ahuzzath; adviser of Abimelech</t>
  </si>
  <si>
    <t>H0277 = אֲחִי</t>
  </si>
  <si>
    <t>Ahi = "my brother"    1) a head of the families of Gad    2) an Asherite</t>
  </si>
  <si>
    <t>Ahi</t>
  </si>
  <si>
    <t>(a)   Ahi; son of Abdiel; tribe of Gad; (b)   Ahi; son of Shemer; tribe of Asher</t>
  </si>
  <si>
    <t>H0278 = אֵחִי</t>
  </si>
  <si>
    <t>Ehi = "my brother"    1) son of Benjamin</t>
  </si>
  <si>
    <t>Ehi</t>
  </si>
  <si>
    <t>Ehi; son of Benjamin</t>
  </si>
  <si>
    <t>H0279 = אֲחִיאָם</t>
  </si>
  <si>
    <t>Ahiam = "mother's brother"    1) one of David's warriors (heroes)</t>
  </si>
  <si>
    <t>Ahiam</t>
  </si>
  <si>
    <t>Ahiam; son of Sachar, Sharar; warrior; time of king David</t>
  </si>
  <si>
    <t>H0280 = אֲחִידָה</t>
  </si>
  <si>
    <t>1) puzzle, riddle</t>
  </si>
  <si>
    <t>riddle</t>
  </si>
  <si>
    <t>H0281 = אֲחִיָּ֫הוּ</t>
  </si>
  <si>
    <t>Ahiah or Ahijah = "brother of Jehovah (Yahu)"    1) grandson of Phinehas    2) scribe of Solomon    3) a prophet who predicted the revolt of the Northern tribes    4) father of Baasha, who usurped the Northern throne    5) grandson of Hezron (or mother of 1-4 above)    6) a Benjamite, son of Ehud    7) one of David's heroes    8) a Levite during David's time    9) a chief man under Nehemiah</t>
  </si>
  <si>
    <t>Ahiah</t>
  </si>
  <si>
    <t>(a)   Ahijah; son of Ahitub; descendant of Eli; priest; (b)   Ahijah; son of Shisha; secretary of king Solomon; (c) אֲחִיָּהוּ   Ahijah; prophet; time of king Jeroboam; (d)   Ahijah; father of Baasha, king of Israel; (e)   Ahijah; son of Jerahmeel; tribe of Judah; (f)   Ahijah; son of Ehud; tribe of Benjamin; (g)   Ahijah; warrior; time of king David; (h)   Ahijah; Levite; time of king David; (i)   Ahijah; chief; after exile \Ahijah; prophet; time of Jeroboam</t>
  </si>
  <si>
    <t>H0282 = אֲחִיהוּד</t>
  </si>
  <si>
    <t>Ahihud = "brother of majesty"    1) a prince of Asher</t>
  </si>
  <si>
    <t>Ahihud</t>
  </si>
  <si>
    <t>Ahihud; son of Shelomi; chief; tribe of Asher</t>
  </si>
  <si>
    <t>H0283 = אַחְיוֹ</t>
  </si>
  <si>
    <t>Ahio = "brotherly" or "fraternal"    1) son of Abinadab who sheltered the ark    2) a Benjamite    3) another Benjamite of Saul's ancestry</t>
  </si>
  <si>
    <t>Ahio</t>
  </si>
  <si>
    <t>(a)   Ahio; son of Abinadab; (b)   Ahio; son of Beria; family head; tribe of Benjamin; (c)   Ahio; son of Jeiel; tribe of Benjamin</t>
  </si>
  <si>
    <t>H0284 = אֲחִיחֻד</t>
  </si>
  <si>
    <t>Ahihud = "brother of mystery"    1) a Benjamite, son of Ehud</t>
  </si>
  <si>
    <t>Ahihud; son of Gera; tribe of Benjamin</t>
  </si>
  <si>
    <t>H0285 = אֲחִיטוּב</t>
  </si>
  <si>
    <t>Ahitub = "my brother is good (goodness)"    1) a grandson of Eli    2) the father of Zadok the priest</t>
  </si>
  <si>
    <t>Ahitub</t>
  </si>
  <si>
    <t>(a)   Ahitub; son of Phinehas; priest; tribe of Levi; (b)   Ahitub; son of Amariah; high-priest; tribe of Levi; (c)   Ahitub; son of Amariah; high-priest; tribe of Levi; (d)   Ahitub; priest; tribe of Levi</t>
  </si>
  <si>
    <t>H0286 = אֲחִילוּד</t>
  </si>
  <si>
    <t>Ahilud = "child's brother"    1) father of Jehoshaphat, David's recorder    2) father of Baana, an officer of Solomon</t>
  </si>
  <si>
    <t>Ahilud</t>
  </si>
  <si>
    <t>(a)   Ahilud; father of Jehoshapat, recorder; time of David; (b)   Ahilud; father of Baana, district governor; time of David</t>
  </si>
  <si>
    <t>H0287 = אֲחִימוֹת</t>
  </si>
  <si>
    <t>Ahimoth = "brother of death" or "my brother is death"    1) a son of Elkanah, a Levite</t>
  </si>
  <si>
    <t>Ahimoth</t>
  </si>
  <si>
    <t>Ahimoth; son of Elkanah; tribe of Levi</t>
  </si>
  <si>
    <t>H0288 = אֲחִימֶ֫לֶךְ</t>
  </si>
  <si>
    <t>Ahimelech = "my brother is king" or "brother of Melek"    1) a priest murdered by Doeg at Saul's command, for supposedly assisting David    2) a Hittite warrior under David</t>
  </si>
  <si>
    <t>Ahimelech</t>
  </si>
  <si>
    <t>(a)   Ahimelech; son of Ahitub; father of Abiathar; priest; time of king David; (b)   Ahimelech; Hittite; warrior; time of king David; (c)   Ahimelech; son of Abiathar; priest; time of king David</t>
  </si>
  <si>
    <t>H0289 = אֲחִימַן</t>
  </si>
  <si>
    <t>Ahiman = "my brother is a gift"    1) a son of Anak    2) a Levite servant in the temple</t>
  </si>
  <si>
    <t>Ahiman</t>
  </si>
  <si>
    <t>(a)   Ahiman; giant; descendant of Anak; (b)   Ahiman; gatekeeper; after exile</t>
  </si>
  <si>
    <t>H0290 = אֲחִימַ֫עַץ</t>
  </si>
  <si>
    <t>Ahimaaz = "my brother is anger (wrath)"    1) father-in-law of Saul    2) Zadok's son who aided David during Absalom's rebellion    3) a supply officer of Solomon</t>
  </si>
  <si>
    <t>Ahimaaz</t>
  </si>
  <si>
    <t>(a)   Ahimaaz; father of Ahinoam, wife of Saul; (b)   Ahimaaz; son of Zadok; high-priest; tribe of Levi; (c)   Ahimaaz; governor; time of Solomon</t>
  </si>
  <si>
    <t>H0291 = אַחְיָן</t>
  </si>
  <si>
    <t>Ahian = "brotherly" or "fraternal"    1) son of Shemida of Manasseh</t>
  </si>
  <si>
    <t>Ahian</t>
  </si>
  <si>
    <t>Ahian; son of Shemida; tribe of Manasseh</t>
  </si>
  <si>
    <t>H0292 = אֲחִינָדָב</t>
  </si>
  <si>
    <t>Ahinadab = "my brother is liberal, or, noble"    1) a supply officer of Solomon</t>
  </si>
  <si>
    <t>Ahinadab</t>
  </si>
  <si>
    <t>Ahinadab; son of Iddo; official; time of king Solomon</t>
  </si>
  <si>
    <t>H0293 = אֲחִינֹ֫עַם</t>
  </si>
  <si>
    <t>Ahinoam = "my brother is delight"    1) wife of Saul, daughter of Ahimaaz    2) wife of David, mother of Amnon, a Jezreelitess</t>
  </si>
  <si>
    <t>Ahinoam</t>
  </si>
  <si>
    <t>(a)   Ahinoam; daughter of Ahimaaz; wife of Saul; (b)   Ahinoam; wife of David; from Jezreel</t>
  </si>
  <si>
    <t>H0294 = אֲחִיסָמָךְ</t>
  </si>
  <si>
    <t>Ahisamach = "my brother is support (has supported)"    1) a Danite, father of Aholiab, a workman on the tabernacle</t>
  </si>
  <si>
    <t>Ahisamach</t>
  </si>
  <si>
    <t>Ahisamach; father of Oholiab; tribe of Dan</t>
  </si>
  <si>
    <t>H0295 = אֲחִיעֶ֫זֶר</t>
  </si>
  <si>
    <t>Ahiezer = "my brother is help"    1) a Danite chief who assisted Moses    2) a Danite chief, one of David's heroes</t>
  </si>
  <si>
    <t>Ahiezer</t>
  </si>
  <si>
    <t>(a)   Ahiezer; son of Ammishaddai; chief; tribe of Dan; time of Moses; (b)   Ahiezer; man; tribe of Benjamin</t>
  </si>
  <si>
    <t>H0296 = אֲחִיקָם</t>
  </si>
  <si>
    <t>Ahikam = "my brother has risen (arisen)"    1) son of Shaphan, an officer in Josiah's reign    2) protector of Jeremiah    3) father of Gedaliah</t>
  </si>
  <si>
    <t>Ahikam</t>
  </si>
  <si>
    <t>Ahikam; son of Shaphan; official; time of king Josiah; father of Gedaliah, governor of Judah, time of exile</t>
  </si>
  <si>
    <t>H0297 = אֲחִירָם</t>
  </si>
  <si>
    <t>Ahiram = "my brother is exalted" or "brother or (the) lofty"    1) a Benjamite, son of Benjamin</t>
  </si>
  <si>
    <t>Ahiram</t>
  </si>
  <si>
    <t>Ahiram; son of Benjamin</t>
  </si>
  <si>
    <t>H0298 = אֲחִירָמִי</t>
  </si>
  <si>
    <t>Ahiramite = "brother of mother"    1) one of the clan of Ahiram</t>
  </si>
  <si>
    <t>Ahiramite</t>
  </si>
  <si>
    <t>Ahiramite; descendant of Ahiram, son of Benjamin</t>
  </si>
  <si>
    <t>H0299 = אֲחִירַע</t>
  </si>
  <si>
    <t>Ahira = "my brother is evil"    1) a chief of Naphtali</t>
  </si>
  <si>
    <t>Ahira</t>
  </si>
  <si>
    <t>Ahira; son of Enan; chief; tribe of Naphtali; time of Moses</t>
  </si>
  <si>
    <t>H0300 = אֲחִישָׁ֑חַר</t>
  </si>
  <si>
    <t>Ahishahar = "my brother is dawn" or "brother of the dawn"    1) a Benjamite</t>
  </si>
  <si>
    <t>Ahishahar</t>
  </si>
  <si>
    <t>Ahishahar; son of Bilhan; tribe of Benjamin</t>
  </si>
  <si>
    <t>H0301 = אֲחִישָׁר</t>
  </si>
  <si>
    <t>Ahishar = "my brother sang"    1) chief steward for Solomon</t>
  </si>
  <si>
    <t>Ahishar</t>
  </si>
  <si>
    <t>Ahishar; official; time of king Solomon</t>
  </si>
  <si>
    <t>H0302 = אֲחִיתֹ֫פֶל</t>
  </si>
  <si>
    <t>Ahithophel = "my brother is foolish (folly)"    1) a counsellor of David, grandfather of Bathsheba (cf &lt;ref="2Sa.11.3"&gt;2Sa 11:3&lt;/ref&gt;, 23:34), who joined Absalom in revolt against David, and committed suicide when Absalom did not heed his counsel</t>
  </si>
  <si>
    <t>Ahithophel</t>
  </si>
  <si>
    <t>Ahithophel; from Giloh; counselor of king David</t>
  </si>
  <si>
    <t>H0303 = אַחְלָב</t>
  </si>
  <si>
    <t>Ahlab = "fertile place"    1) a town allotted to Asher, site presently unknown</t>
  </si>
  <si>
    <t>Ahlab</t>
  </si>
  <si>
    <t>Ahlab; town; territory of Asher</t>
  </si>
  <si>
    <t>H0304 = אַחְלָ֑י</t>
  </si>
  <si>
    <t>Ahlai = "O! would that!"    1) daughter of Sheshan    2) father of one of David's heroes (mighty men, warriors)</t>
  </si>
  <si>
    <t>Ahlai</t>
  </si>
  <si>
    <t>(a)   Ahlai; descendant of Jerahmeel; tribe of Judah; (b)   Ahlai; father of Zabad, warrior, time of king David</t>
  </si>
  <si>
    <t>H0305 = אַחֲלַי</t>
  </si>
  <si>
    <t>1) Oh that...!; oh would that!; ah that!</t>
  </si>
  <si>
    <t>O that!</t>
  </si>
  <si>
    <t>interjection   alas; would that!</t>
  </si>
  <si>
    <t>H0306 = אַחְלָ֑מָה</t>
  </si>
  <si>
    <t>1) amethyst, a gem in the third row on the ephod, breastplate of judgment worn by the high priest. Transliteration of the Septuagint word. Identification is not certain but is a purple stone perhaps a corundum or red or brown jasper.</t>
  </si>
  <si>
    <t>amethyst</t>
  </si>
  <si>
    <t>precious stone; KB NEB jasper; LXX amethystos; RSV JB TEV NIV amethyst</t>
  </si>
  <si>
    <t>H0307 = אַחְמְתָא</t>
  </si>
  <si>
    <t>Achmetha = "Ecbatana"    1) capital of Media, captured by Cyrus in 550 BC and then summer residence of Persian kings</t>
  </si>
  <si>
    <t>Ecbatana</t>
  </si>
  <si>
    <t>Ecbatana; town; in Media</t>
  </si>
  <si>
    <t>H0308 = אֲחַסְבַּי</t>
  </si>
  <si>
    <t>Ahasbai = "brother of my encompassers"    1) father of Eliphelet, one of David's heroes</t>
  </si>
  <si>
    <t>Ahasbai</t>
  </si>
  <si>
    <t>Ahasbai; from Maacah; warrior; time of king David</t>
  </si>
  <si>
    <t>H0309 = אָחַר</t>
  </si>
  <si>
    <t>1) to delay, hesitate, tarry, defer, remain behind    1a) (Qal)    1a1) to delay, tarry (intensive)    1a2) to cause one to delay, hinder, keep back    1b) (Piel) to delay, wait, stay behind (but not in hope)</t>
  </si>
  <si>
    <t>to delay</t>
  </si>
  <si>
    <t>H0310a = אַחַר</t>
  </si>
  <si>
    <t>1) after the following part, behind (of place), hinder, afterwards (of time)    1a) as an adverb    1a1) behind (of place)    1a2) afterwards (of time)    1b) as a preposition    1b1) behind, after (of place)    1b2) after (of time)    1b3) besides    1c) as a conjunction    1c) after that    1d) as a substantive    1d1) hinder part    1e) with other prepositions    1e1) from behind    1e2) from following after</t>
  </si>
  <si>
    <t>after</t>
  </si>
  <si>
    <t>behind, after</t>
  </si>
  <si>
    <t>H0310b = אַחֲרַי</t>
  </si>
  <si>
    <t>1) backwards (of a man that turns backwards)</t>
  </si>
  <si>
    <t>backwards</t>
  </si>
  <si>
    <t>H0311 = אַחַר</t>
  </si>
  <si>
    <t>1) after</t>
  </si>
  <si>
    <t>H0312 = אַחֵר</t>
  </si>
  <si>
    <t>1) another, other, following    1a) following, further    1b) other, different</t>
  </si>
  <si>
    <t>another</t>
  </si>
  <si>
    <t>other</t>
  </si>
  <si>
    <t>H0313 = אַחֵר</t>
  </si>
  <si>
    <t>Aher = "following"    1) a Benjamite</t>
  </si>
  <si>
    <t>Aher</t>
  </si>
  <si>
    <t>H0314 = אַחֲרוֹן</t>
  </si>
  <si>
    <t>1) behind, following, subsequent, western    1a) behind, hindermost, western (of location)    1b) later, subsequent, latter, last (of time)</t>
  </si>
  <si>
    <t>last</t>
  </si>
  <si>
    <t>(a) qal   to stay on; (b) pi.   to retard, stay; (c) hif.   to miss</t>
  </si>
  <si>
    <t>H0315 = אַחְרַח</t>
  </si>
  <si>
    <t>Aharah = "a following brother"    1) a son of Benjamin</t>
  </si>
  <si>
    <t>Aharah</t>
  </si>
  <si>
    <t>Aharah; son of Benjamin</t>
  </si>
  <si>
    <t>H0316 = אֲחַרְחֵל</t>
  </si>
  <si>
    <t>Aharhel = "a following host"    1) a descendant of Judah through Caleb</t>
  </si>
  <si>
    <t>Aharhel</t>
  </si>
  <si>
    <t>Aharhel; son of Harum; tribe of Judah</t>
  </si>
  <si>
    <t>H0317 = אׇחֳרִי</t>
  </si>
  <si>
    <t>1) other, another</t>
  </si>
  <si>
    <t>H0318 = אׇחֳרֵין</t>
  </si>
  <si>
    <t>1) end, outcome    1a) hid part (of cows)    1b) end (of time)    1c) remnant, descendants</t>
  </si>
  <si>
    <t>finally</t>
  </si>
  <si>
    <t>H0319 = אַחֲרִית</t>
  </si>
  <si>
    <t>1) after part, end    1a) end, issue, event    1b) latter time (prophetic for future time)    1c) posterity    1d) last, hindermost</t>
  </si>
  <si>
    <t>end</t>
  </si>
  <si>
    <t>future</t>
  </si>
  <si>
    <t>H0320 = אַחֲרִית</t>
  </si>
  <si>
    <t>1) end, latter</t>
  </si>
  <si>
    <t>latter</t>
  </si>
  <si>
    <t>end, issue; remainder</t>
  </si>
  <si>
    <t>H0321 = אׇחֳרָן</t>
  </si>
  <si>
    <t>H0322 = אֲחֹרַנִּית</t>
  </si>
  <si>
    <t>1) backwards, back part, the rear</t>
  </si>
  <si>
    <t>H0323 = אֲחַשְׁדַּרְפַּן</t>
  </si>
  <si>
    <t>1) satrap, a governor of a Persian province</t>
  </si>
  <si>
    <t>satrap</t>
  </si>
  <si>
    <t>H0324 = אֲחַשְׁדַּרְפְּנִין</t>
  </si>
  <si>
    <t>H0325 = אֲחַשְׁוֵרוֹשׁ</t>
  </si>
  <si>
    <t>Ahasuerus = "I will be silent and poor"    1) title of the king of Persia, probably Xerxes</t>
  </si>
  <si>
    <t>Ahasuerus</t>
  </si>
  <si>
    <t>Ahasuerus, Xerxes; king of Persia</t>
  </si>
  <si>
    <t>H0326 = אֲחַשְׁתָּרִי</t>
  </si>
  <si>
    <t>Haahashtari = "I will diligently observe the searching"    1) a descendant of Ashur of Judah</t>
  </si>
  <si>
    <t>Haahashtari</t>
  </si>
  <si>
    <t>Haahashtari; son of Ashhur; tribe of Judah</t>
  </si>
  <si>
    <t>H0327 = אֲחַשְׁתְּרָן</t>
  </si>
  <si>
    <t>1) royal (steeds)</t>
  </si>
  <si>
    <t>steed</t>
  </si>
  <si>
    <t>H0328a = אִטִּי</t>
  </si>
  <si>
    <t>1) enchanter, necromancer (substantive)</t>
  </si>
  <si>
    <t>mutterer</t>
  </si>
  <si>
    <t>necromancers</t>
  </si>
  <si>
    <t>H0328b = אַט</t>
  </si>
  <si>
    <t>1) gentleness, softness    1a) gently    1b) flowing    1c) softly</t>
  </si>
  <si>
    <t>softly</t>
  </si>
  <si>
    <t>gentle</t>
  </si>
  <si>
    <t>H0329 = אָטָד</t>
  </si>
  <si>
    <t>1) bramble, thorn, buckthorn    2) the threshing Atad, meaning thorn, also called Abelmizraim and afterwards called Bethhogla was located on the west of Jordan between the Jordan and Jericho</t>
  </si>
  <si>
    <t>bramble</t>
  </si>
  <si>
    <t>(1)   thorn, thistle, brier ; (2)   Atad; location</t>
  </si>
  <si>
    <t>H0330 = אֵטוּן</t>
  </si>
  <si>
    <t>1) linen, yarn, thread</t>
  </si>
  <si>
    <t>fine linen</t>
  </si>
  <si>
    <t>flax; linen</t>
  </si>
  <si>
    <t>H0331 = אָטַם</t>
  </si>
  <si>
    <t>1) to shut, shut up, close    1a) (Qal) to shut, stop (of lips)    1b) (Hiphil) of the wicked stopping their ears (fig.)</t>
  </si>
  <si>
    <t>to shutter</t>
  </si>
  <si>
    <t>qal   to shut</t>
  </si>
  <si>
    <t>H0332 = אָטַר</t>
  </si>
  <si>
    <t>1) (Qal) shut    1a) to shut up, close, bind    1b) close one's mouth</t>
  </si>
  <si>
    <t>to shut</t>
  </si>
  <si>
    <t>qal   to close</t>
  </si>
  <si>
    <t>H0333 = אָטֵר</t>
  </si>
  <si>
    <t>Ater = "binder"    1) an exiled descendant of Hezekiah    2) an exiled Levite porter (perhaps same as 1)    3) a chief Israelite who sealed Nehemiah's covenant</t>
  </si>
  <si>
    <t>Ater</t>
  </si>
  <si>
    <t>(a)   Ater; family head; after exile; (b)   Ater; family head; gatekeepers; after exile</t>
  </si>
  <si>
    <t>H0334 = אִטֵּר</t>
  </si>
  <si>
    <t>1) bound, impeded (on the right, ie, left-handed), shut, shut up</t>
  </si>
  <si>
    <t>lefthanded</t>
  </si>
  <si>
    <t>bound</t>
  </si>
  <si>
    <t>H0335 = אַי</t>
  </si>
  <si>
    <t>1) where?, whence?    2) which?, how? (in prefix with other adverb)</t>
  </si>
  <si>
    <t>H0336 = אִי</t>
  </si>
  <si>
    <t>1) not</t>
  </si>
  <si>
    <t>not</t>
  </si>
  <si>
    <t>(d) particle   not</t>
  </si>
  <si>
    <t>H0337 = אִי</t>
  </si>
  <si>
    <t>1) alas!, woe!</t>
  </si>
  <si>
    <t>(c) interjection   woe!</t>
  </si>
  <si>
    <t>H0338 = אִי</t>
  </si>
  <si>
    <t>1) howling beast, jackal</t>
  </si>
  <si>
    <t>wild beast</t>
  </si>
  <si>
    <t>(b)   fox, jackal</t>
  </si>
  <si>
    <t>H0339 = אִי</t>
  </si>
  <si>
    <t>1) coast, island, shore, region</t>
  </si>
  <si>
    <t>coastland</t>
  </si>
  <si>
    <t>(a)   coastland</t>
  </si>
  <si>
    <t>H0340 = אָיַב</t>
  </si>
  <si>
    <t>1) to be hostile to, to be an enemy to    1a) (Qal)    1a1) to be hostile to    1a2) to treat as an enemy</t>
  </si>
  <si>
    <t>be hostile</t>
  </si>
  <si>
    <t>qal   to be an enemy</t>
  </si>
  <si>
    <t>H0341 = אֹיֵב</t>
  </si>
  <si>
    <t>1) (Qal) enemy    1a) personal    1b) national</t>
  </si>
  <si>
    <t>enemy</t>
  </si>
  <si>
    <t>H0342 = אֵיבָה</t>
  </si>
  <si>
    <t>1) enmity, hatred</t>
  </si>
  <si>
    <t>enmity</t>
  </si>
  <si>
    <t>enmity; hostile mind</t>
  </si>
  <si>
    <t>H0343 = אֵיד</t>
  </si>
  <si>
    <t>1) distress, burden, calamity    1a) burden (of the righteous)    1b) calamity (of nation)    1c) disaster (of wicked)    1d) day of calamity</t>
  </si>
  <si>
    <t>calamity</t>
  </si>
  <si>
    <t>calamity; destruction</t>
  </si>
  <si>
    <t>H0344 = אַיָּה</t>
  </si>
  <si>
    <t>1) hawk, falcon, kite</t>
  </si>
  <si>
    <t>falcon</t>
  </si>
  <si>
    <t>(1)   buzzard? falcon? harrier?</t>
  </si>
  <si>
    <t>H0345 = אַיָּה</t>
  </si>
  <si>
    <t>Aiah or Ajah = "falcon"    1) a Horite, son of Zibeon    2) father of Rizpah, Saul's concubine</t>
  </si>
  <si>
    <t>Aiah</t>
  </si>
  <si>
    <t>(2a)   Aiah; son of Zibeon; descendant of Seir; (2b)   Aiah; man</t>
  </si>
  <si>
    <t>H0346 = אַיֵּה</t>
  </si>
  <si>
    <t>1) where?    1a) of persons, things    1b) rhetorical</t>
  </si>
  <si>
    <t>H0347 = אִיּוֹב</t>
  </si>
  <si>
    <t>Job = "hated"    1) a patriarch, the subject of the book of Job</t>
  </si>
  <si>
    <t>Job</t>
  </si>
  <si>
    <t>Job; man</t>
  </si>
  <si>
    <t>H0348 = אִיזֶבֶל</t>
  </si>
  <si>
    <t>Jezebel = "Baal exalts" or "Baal is husband to" or "unchaste"    1) queen of Israel, wife of Ahab, daughter of Ethbaal</t>
  </si>
  <si>
    <t>Jezebel</t>
  </si>
  <si>
    <t>Jezebel; wife of king Ahab</t>
  </si>
  <si>
    <t>H0349a = אֵיךְ</t>
  </si>
  <si>
    <t>interrog adv    1) how?</t>
  </si>
  <si>
    <t>how?</t>
  </si>
  <si>
    <t>question word   how? what?</t>
  </si>
  <si>
    <t>H0349b = אֵיכָה</t>
  </si>
  <si>
    <t>interrog adv    1) how?    interj    2) how! (in lamentation)    3) expression of satisfaction</t>
  </si>
  <si>
    <t>question word   how! what!</t>
  </si>
  <si>
    <t>H0349c = אֵיכָ֫כָה</t>
  </si>
  <si>
    <t>1) how?</t>
  </si>
  <si>
    <t>H0350 = אִי־כָבוֹד</t>
  </si>
  <si>
    <t>Ichabod = "no glory"    1) a son of Phinehas, so named because of the capture of the Ark by the Philistines</t>
  </si>
  <si>
    <t>Ichabod</t>
  </si>
  <si>
    <t>Ichabod; son of Phinehas, priest</t>
  </si>
  <si>
    <t>H0351 = אֵיכֹה</t>
  </si>
  <si>
    <t>1) where!</t>
  </si>
  <si>
    <t>question word   how? where?</t>
  </si>
  <si>
    <t>H0352a = אַ֫יִל</t>
  </si>
  <si>
    <t>1) ram    1a) ram (as food)    1b) ram (as sacrifice)    1c) ram (skin dyed red, for tabernacle)</t>
  </si>
  <si>
    <t>ram</t>
  </si>
  <si>
    <t>(b)   ram</t>
  </si>
  <si>
    <t>H0352b = אַ֫יִל</t>
  </si>
  <si>
    <t>1) pillar, door post, jambs, pilaster</t>
  </si>
  <si>
    <t>pillar</t>
  </si>
  <si>
    <t>(c)   pillar; (d)   mighty</t>
  </si>
  <si>
    <t>H0352c = אַ֫יִל</t>
  </si>
  <si>
    <t>1) strong man, leader, chief</t>
  </si>
  <si>
    <t>leader</t>
  </si>
  <si>
    <t>H0352d = אַ֫יִל</t>
  </si>
  <si>
    <t>1) mighty tree, terebinth</t>
  </si>
  <si>
    <t>terebinth</t>
  </si>
  <si>
    <t>(a)   large tree</t>
  </si>
  <si>
    <t>H0353 = אֱיָל</t>
  </si>
  <si>
    <t>1) strength    2) help</t>
  </si>
  <si>
    <t>H0354 = אַיָּל</t>
  </si>
  <si>
    <t>1) stag, deer, hart</t>
  </si>
  <si>
    <t>deer</t>
  </si>
  <si>
    <t>H0355 = אַיָּלָה</t>
  </si>
  <si>
    <t>1) doe, deer, hind</t>
  </si>
  <si>
    <t>doe</t>
  </si>
  <si>
    <t>H0356 = אֵלוֹן</t>
  </si>
  <si>
    <t>Elon = "terebinth, mighty"    1) Hittite, father-in-law of Esau    2) second son of Zebulun    3) Zebulonite judge of Israel    4) town in Dan</t>
  </si>
  <si>
    <t>Elon</t>
  </si>
  <si>
    <t>H0357 = אַיָּלוֹן</t>
  </si>
  <si>
    <t>Ajalon or Aijalon = "field of deer"    1) Levitical city in Dan, 14 miles or 25 km NW of Jerusalem, later ruled by the Amorites, then the Benjamites of Judah, then by the Philistines    2) a city of Zebulun, site unknown</t>
  </si>
  <si>
    <t>Aijalon</t>
  </si>
  <si>
    <t>(a)   Aijalon; town; for Levites; territory of Dan, Ephraim; (b)   Aijalon; town; territory of Zebulun</t>
  </si>
  <si>
    <t>H0358 = אֵילוֹן בֵּית חָנָן</t>
  </si>
  <si>
    <t>Elon Beth-hanan = "oak of the house of grace"    1) a city of Dan</t>
  </si>
  <si>
    <t>Elonbeth-hanan</t>
  </si>
  <si>
    <t>H0359a = אֵילַת, אֵילוֹת</t>
  </si>
  <si>
    <t>Elath or Eloth = "grove of lofty trees"    1) a port on the north-east arm of the Red Sea</t>
  </si>
  <si>
    <t>Elath</t>
  </si>
  <si>
    <t>Elath; town; Red Sea</t>
  </si>
  <si>
    <t>H0359b = אֵילוֹת</t>
  </si>
  <si>
    <t>Elath or Eloth = "grove of lofty trees"    1) grove of lofty trees</t>
  </si>
  <si>
    <t>Eloth</t>
  </si>
  <si>
    <t>Eloth; town; Red Sea</t>
  </si>
  <si>
    <t>H0360 = אֱיָלוּת</t>
  </si>
  <si>
    <t>1) strength, my help</t>
  </si>
  <si>
    <t>power</t>
  </si>
  <si>
    <t>H0361 = אֵילָם</t>
  </si>
  <si>
    <t>1) porch, vestibule, portico</t>
  </si>
  <si>
    <t>arches</t>
  </si>
  <si>
    <t>H0362 = אֵילִם</t>
  </si>
  <si>
    <t>Elim = "palms"    1) second encampment of the Israelites after the Exodus</t>
  </si>
  <si>
    <t>Elim</t>
  </si>
  <si>
    <t>Elim; location on Sinai Peninsula</t>
  </si>
  <si>
    <t>H0363 = אִילָן</t>
  </si>
  <si>
    <t>1) tree</t>
  </si>
  <si>
    <t>tree</t>
  </si>
  <si>
    <t>H0364 = אֵיל פָּארָן</t>
  </si>
  <si>
    <t>El-paran = "palm of Paran"    1) town and harbour at tip of Gulf of Aqaba on the Red Sea</t>
  </si>
  <si>
    <t>El-paran</t>
  </si>
  <si>
    <t>El Paran; location in the desert of Paran</t>
  </si>
  <si>
    <t>H0365 = אַיֶּלֶת</t>
  </si>
  <si>
    <t>1) doe, deer, hind    2) "Aijeleth Shahar" is part of the title of &lt;ref="Psa.22.1"&gt;Ps 22:1&lt;/ref&gt; and probably describes to the musician the melody to which the psalm was to be played</t>
  </si>
  <si>
    <t>hind (female deer; FF 20)</t>
  </si>
  <si>
    <t>H0366 = אָיֹם</t>
  </si>
  <si>
    <t>1) terrible, dreadful</t>
  </si>
  <si>
    <t>terrible</t>
  </si>
  <si>
    <t>H0367 = אֵימָה</t>
  </si>
  <si>
    <t>1) terror, dread</t>
  </si>
  <si>
    <t>terror</t>
  </si>
  <si>
    <t>terror, dread</t>
  </si>
  <si>
    <t>H0368 = אֵימִים</t>
  </si>
  <si>
    <t>Emims = "terrors"    1) ancient inhabitants of Moab</t>
  </si>
  <si>
    <t>Emim</t>
  </si>
  <si>
    <t>Emim; people</t>
  </si>
  <si>
    <t>H0369 = אַ֫יִן</t>
  </si>
  <si>
    <t>1) nothing, not, nought n    1a) nothing, nought neg    1b) not    1c) to have not (of possession) adv    1d) without w/prep    1e) for lack of</t>
  </si>
  <si>
    <t>nothing</t>
  </si>
  <si>
    <t>(a)   nothingness, not; (b) question word   where?</t>
  </si>
  <si>
    <t>H0370 = אַ֫יִן</t>
  </si>
  <si>
    <t>1) where?, whence?</t>
  </si>
  <si>
    <t>whence?</t>
  </si>
  <si>
    <t>question word   where? how?</t>
  </si>
  <si>
    <t>H0371 = אִין</t>
  </si>
  <si>
    <t>1) Is there not?, Have you not?</t>
  </si>
  <si>
    <t>isn't</t>
  </si>
  <si>
    <t>H0372 = אִיעֶזֶר</t>
  </si>
  <si>
    <t>Jeezer = "no help"    1) a descendant of Manasseh</t>
  </si>
  <si>
    <t>Iezer</t>
  </si>
  <si>
    <t>Iezer; son of Gilead; tribe of Manasseh</t>
  </si>
  <si>
    <t>H0373 = אִיעֶזְרִי</t>
  </si>
  <si>
    <t>Jeezerite = "no help"    1) one of the tribe of Jeezer</t>
  </si>
  <si>
    <t>Iezerite</t>
  </si>
  <si>
    <t>Iezrite; descendant of Iezer, son of Gilead; tribe of Manasseh</t>
  </si>
  <si>
    <t>H0374 = אֵיפָה</t>
  </si>
  <si>
    <t>1) ephah    1a) a dry measure of quantity, equal to 3 seahs, 10 omers; the same as the liquid measure bath; (about 9 imperial gallons (40 l), rabbinical writings give sizes of one-half this amount)    1b) the receptacle for measuring or holding that amount</t>
  </si>
  <si>
    <t>ephah</t>
  </si>
  <si>
    <t>unit of dry measure of 22 liters or 0.6 bushels; equals 10 omer</t>
  </si>
  <si>
    <t>H0375 = אֵיפֹה</t>
  </si>
  <si>
    <t>1) where?    2) what kind?</t>
  </si>
  <si>
    <t>H0376 = אִישׁ</t>
  </si>
  <si>
    <t>1) man    1a) man, male (in contrast to woman, female)    1b) husband    1c) human being, person (in contrast to God)    1d) servant    1e) mankind    1f) champion    1g) great man    2) whosoever    3) each (adjective)</t>
  </si>
  <si>
    <t>H0377 = אשׁשׁ</t>
  </si>
  <si>
    <t>1) (Hithpalel) to be a man, show masculinity, champion, great man</t>
  </si>
  <si>
    <t>be manly</t>
  </si>
  <si>
    <t>hitp.   to be incensed? to act manlike?</t>
  </si>
  <si>
    <t>H0378 = אִישׁ־בֹ֫שֶׁת</t>
  </si>
  <si>
    <t>Ishbosheth = "man of shame"    1) surviving son of Saul, king of Israel for 7 years while David was king over Judah; succeeded by David who united the kingdom</t>
  </si>
  <si>
    <t>Ish-bosheth</t>
  </si>
  <si>
    <t>Ish-Bosheth; son of king Saul; tribe of Benjamin</t>
  </si>
  <si>
    <t>H0379 = אִישְׁהוֹד</t>
  </si>
  <si>
    <t>Ishod = "man of majesty"    1) a Manassite from east of the Jordan</t>
  </si>
  <si>
    <t>Ishhod</t>
  </si>
  <si>
    <t>Ishhod; son of Hammolecheth; tribe of Manasseh</t>
  </si>
  <si>
    <t>H0380 = אִישׁוֹן</t>
  </si>
  <si>
    <t>1) pupil of the eye    2) middle of the night (that is the deepest blackness)</t>
  </si>
  <si>
    <t>pupil</t>
  </si>
  <si>
    <t>H0381 = אִישׁ־חַיִל</t>
  </si>
  <si>
    <t>1) a mighty man, valiant man</t>
  </si>
  <si>
    <t>hero</t>
  </si>
  <si>
    <t>H0382 = אִישׁ־טוֹב</t>
  </si>
  <si>
    <t>Ishtob = "man of Tob"    1) a region beyond Jordan, north or northeast of Gilead</t>
  </si>
  <si>
    <t>Ish-tob</t>
  </si>
  <si>
    <t>H0383 = אִיתַי</t>
  </si>
  <si>
    <t>1) there is, there are    2) particle denoting existence</t>
  </si>
  <si>
    <t>there is</t>
  </si>
  <si>
    <t>Ithai; son of Ribai; warrior; time of David</t>
  </si>
  <si>
    <t>H0384 = אִיתִיאֵל</t>
  </si>
  <si>
    <t>Ithiel = "God is with me"    1) the disciple to whom Agur gave proverbs    2) a Benjamite in Nehemiah's time</t>
  </si>
  <si>
    <t>Ithiel</t>
  </si>
  <si>
    <t>(a)   Ithiel; son of Jeshaiah; ancestor of Sallu, tribe of Benjamin, after exile; (b)   Ithiel; man</t>
  </si>
  <si>
    <t>H0385 = אִיתָמָר</t>
  </si>
  <si>
    <t>Ithamar = "coast of palms"    1) fourth and youngest son of Aaron</t>
  </si>
  <si>
    <t>Ithamar</t>
  </si>
  <si>
    <t>Ithamar; son of Aaron; priest; tribe of Levi</t>
  </si>
  <si>
    <t>H0386 = אֵיתָן</t>
  </si>
  <si>
    <t>1) perpetual, constant, perennial, ever-flowing    1a) ever-flowing (of a stream)    1b) permanence, permanent, enduring (fig.)</t>
  </si>
  <si>
    <t>strong</t>
  </si>
  <si>
    <t>H0387 = אֵיתָן</t>
  </si>
  <si>
    <t>Ethan = "enduring"    1) an Ezrahite known for his wisdom    2) a grandson of Judah, father of Azariah    3) a Kohathite descendant of Levi    4) a Merarite son of Kushaiah, descendant of Levi</t>
  </si>
  <si>
    <t>Ethan</t>
  </si>
  <si>
    <t>(1a)   always filled with running water; (1b)   firm, constant; (1c)   name of month (in which only the everflowing rivers have water); pre-exilic; September/October; (2a)   Ethan; son of Zerah; tribe of Judah; (2b)   Ethan; wise man serving David; descendant of Zerah; tribe of Judah; (2c)   Ethan; son of Zimmah; ancestor of Asaph; tribe of Levi; (2d)   Ethan; son of Kishi, Kushaiah; temple singer; tribe of Levi</t>
  </si>
  <si>
    <t>H0388 = אֵיתָנִים</t>
  </si>
  <si>
    <t>Ethanim = "enduring"    1) seventh Jewish month, corresponding to modern Oct. to Nov.; so named because permanent streams still flowed</t>
  </si>
  <si>
    <t>Ethanim</t>
  </si>
  <si>
    <t>H0389 = אַךְ</t>
  </si>
  <si>
    <t>1) indeed, surely (emphatic)    2) howbeit, only, but, yet (restrictive)</t>
  </si>
  <si>
    <t>surely</t>
  </si>
  <si>
    <t>certainly; only</t>
  </si>
  <si>
    <t>H0390 = אַכַּד</t>
  </si>
  <si>
    <t>Accad = "subtle"    1) a city in north Babylonia, also the district around it</t>
  </si>
  <si>
    <t>Accad</t>
  </si>
  <si>
    <t>Accad; town; Mesopotamia</t>
  </si>
  <si>
    <t>H0391 = אַכְזָב</t>
  </si>
  <si>
    <t>1) deceitful, treacherous, deception, lie, deceptive, disappointing</t>
  </si>
  <si>
    <t>deceptive</t>
  </si>
  <si>
    <t>deceitful</t>
  </si>
  <si>
    <t>H0392 = אַכְזִיב</t>
  </si>
  <si>
    <t>Achzib = "deceit"    1) a town in the lowland of west Judah    2) a town in Asher by the Sea of Galilee</t>
  </si>
  <si>
    <t>Achzib</t>
  </si>
  <si>
    <t>(a)   Achzib; town; territory of Judah; (b)   Achzib; town; territory of Asher</t>
  </si>
  <si>
    <t>H0393 = אַכְזָר</t>
  </si>
  <si>
    <t>1) cruel, fierce</t>
  </si>
  <si>
    <t>cruel</t>
  </si>
  <si>
    <t>H0394 = אַכְזָרִי</t>
  </si>
  <si>
    <t>1) cruel</t>
  </si>
  <si>
    <t>H0395 = אַכְזְרִיּוּת</t>
  </si>
  <si>
    <t>1) cruelty, fierceness, cruel</t>
  </si>
  <si>
    <t>cruelty, fierceness (of anger)</t>
  </si>
  <si>
    <t>H0396 = אֲכִילָה</t>
  </si>
  <si>
    <t>1) food, a meal, an eating, meat</t>
  </si>
  <si>
    <t>food</t>
  </si>
  <si>
    <t>H0397 = אָכִישׁ</t>
  </si>
  <si>
    <t>Achish = "I will blacken (or terrify)" or "only a man"    1) Philistine king of Gath</t>
  </si>
  <si>
    <t>Achish</t>
  </si>
  <si>
    <t>Achish; son of Maacah; king of Gath</t>
  </si>
  <si>
    <t>H0398 = אָכַל</t>
  </si>
  <si>
    <t>1) to eat, devour, burn up, feed    1a) (Qal)    1a1) to eat (human subject)    1a2) to eat, devour (of beasts and birds)    1a3) to devour, consume (of fire)    1a4) to devour, slay (of sword)    1a5) to devour, consume, destroy (inanimate subjects - ie, pestilence, drought)    1a6) to devour (of oppression)    1b) (Niphal)    1b1) to be eaten (by men)    1b2) to be devoured, consumed (of fire)    1b3) to be wasted, destroyed (of flesh)    1c) (Pual)    1c1) to cause to eat, feed with    1c2) to cause to devour    1d) (Hiphil)    1d1) to feed    1d2) to cause to eat    1e) (Piel)    1e1) consume</t>
  </si>
  <si>
    <t>to eat</t>
  </si>
  <si>
    <t>(a) qal   to eat; (b) nif.   to be eaten; (c) pu.   to be consumed; (d) hif.   to feed</t>
  </si>
  <si>
    <t>H0399 = אֲכַל</t>
  </si>
  <si>
    <t>1) to eat, devour    1a) (P'al)    1a1) to eat (of beasts)    1a2) to devour    1a3) eat their pieces (in a phrase, that is, slander them)</t>
  </si>
  <si>
    <t>to devour</t>
  </si>
  <si>
    <t>H0400 = אֹ֫כֶל</t>
  </si>
  <si>
    <t>1) food    1a) cereal    1b) meat    2) food supply    3) meal, dinner</t>
  </si>
  <si>
    <t>H0401 = אֻכָל</t>
  </si>
  <si>
    <t>Ucal = "devoured"    1) student or disciple of Agur</t>
  </si>
  <si>
    <t>Ucal</t>
  </si>
  <si>
    <t>Ucal; man</t>
  </si>
  <si>
    <t>H0402 = אׇכְלָה</t>
  </si>
  <si>
    <t>1) food    1a) food, eating    1b) object of devouring, consuming    1b1) by wild beasts (figurative)    1b2) in fire    1b3) of judgment (figurative)</t>
  </si>
  <si>
    <t>H0403 = אָכֵן</t>
  </si>
  <si>
    <t>1) surely, truly, indeed    1a) truly, indeed (strong assertive force)    1b) but indeed, but in fact (emphasizing a contrast)</t>
  </si>
  <si>
    <t>interjection   surely!</t>
  </si>
  <si>
    <t>H0404 = אָכַף</t>
  </si>
  <si>
    <t>1) press, urge, bend    1a) (Qal)    1a1) to crave</t>
  </si>
  <si>
    <t>to crave</t>
  </si>
  <si>
    <t>qal   to press</t>
  </si>
  <si>
    <t>H0405 = אֶ֫כֶף</t>
  </si>
  <si>
    <t>1) pressure, urgency, burden</t>
  </si>
  <si>
    <t>burden</t>
  </si>
  <si>
    <t>pressure</t>
  </si>
  <si>
    <t>H0406 = אִכָּר</t>
  </si>
  <si>
    <t>1) plowman, husbandman, farmer    1a) working the land, yet not owning any of it</t>
  </si>
  <si>
    <t>farmer</t>
  </si>
  <si>
    <t>H0407 = אַכְשָׁף</t>
  </si>
  <si>
    <t>Achshaph = "I shall be bewitched"    1) city in north Canaan at foot of Mt Carmel</t>
  </si>
  <si>
    <t>Achshaph</t>
  </si>
  <si>
    <t>Achshaph; town; territory of Asher</t>
  </si>
  <si>
    <t>H0408 = אַל</t>
  </si>
  <si>
    <t>1) not, no, nor, neither, nothing (as wish or preference)    1a) do not, let not (with a verb)    1b) let there not be (with a verb understood)    1c) not, no (with substantive)    1d) nothing (as substantive)</t>
  </si>
  <si>
    <t>particle   not</t>
  </si>
  <si>
    <t>H0409 = אַל</t>
  </si>
  <si>
    <t>1) no, not</t>
  </si>
  <si>
    <t>H0410 = אֵל</t>
  </si>
  <si>
    <t>1) god, god-like one, mighty one    1a) mighty men, men of rank, mighty heroes    1b) angels    1c) god, false god, (demons, imaginations)    1d) God, the one true God, Jehovah    2) mighty things in nature    3) strength, power</t>
  </si>
  <si>
    <t>god</t>
  </si>
  <si>
    <t>(a)   power; (b)   god</t>
  </si>
  <si>
    <t>H0411 = אֵל</t>
  </si>
  <si>
    <t>1) these, those</t>
  </si>
  <si>
    <t>these</t>
  </si>
  <si>
    <t>H0412 = אֵל</t>
  </si>
  <si>
    <t>1) these</t>
  </si>
  <si>
    <t>H0413 = אֶל</t>
  </si>
  <si>
    <t>1) to, toward, unto (of motion)    2) into (limit is actually entered)    2a) in among    3) toward (of direction, not necessarily physical motion)    4) against (motion or direction of a hostile character)    5) in addition to, to    6) concerning, in regard to, in reference to, on account of    7) according to (rule or standard)    8) at, by, against (of one's presence)    9) in between, in within, to within, unto (idea of motion to)</t>
  </si>
  <si>
    <t>to(wards)</t>
  </si>
  <si>
    <t>preposition   to</t>
  </si>
  <si>
    <t>H0414 = אֵלָא</t>
  </si>
  <si>
    <t>Elah = "oak"    1) father of one of Solomon's deputies</t>
  </si>
  <si>
    <t>Ela</t>
  </si>
  <si>
    <t>Ela; father of Shimei, official, time of king Solomon</t>
  </si>
  <si>
    <t>H0415 = אֵל אֱלֹהֵי יִשְׂרָאֵל</t>
  </si>
  <si>
    <t>El-elohe-Israel = "the mighty God of Israel"    1) name given to an altar, a location, by Jacob</t>
  </si>
  <si>
    <t>El-Elohe-Israel</t>
  </si>
  <si>
    <t>H0416 = אֵל בֵּית־אֵל</t>
  </si>
  <si>
    <t>El Bethel = "The God of the House of God"    1) the place where God revealed Himself to Jacob</t>
  </si>
  <si>
    <t>El-beth-el</t>
  </si>
  <si>
    <t>H0417 = אֶלְגָּבִישׁ</t>
  </si>
  <si>
    <t>1) hail (lit. -pearls of God)</t>
  </si>
  <si>
    <t>hail</t>
  </si>
  <si>
    <t>hailstone</t>
  </si>
  <si>
    <t>H0418 = אַלְגּוּמִּים</t>
  </si>
  <si>
    <t>1) a tree (from Lebanon), algum trees</t>
  </si>
  <si>
    <t>algum</t>
  </si>
  <si>
    <t>H0419 = אֶלְדָּד</t>
  </si>
  <si>
    <t>Eldad = "God has loved"    1) one of the two elders who prophesied in the Israelite camp</t>
  </si>
  <si>
    <t>Eldad</t>
  </si>
  <si>
    <t>Eldad; elder of Israel; time of Moses</t>
  </si>
  <si>
    <t>H0420 = אֶלְדָּעָה</t>
  </si>
  <si>
    <t>Eldaah = "God has known"    1) a son or descendant of Midian</t>
  </si>
  <si>
    <t>Eldaah</t>
  </si>
  <si>
    <t>Eldaah; son of Midian, son of Keturah, wife of Abraham</t>
  </si>
  <si>
    <t>H0421 = אָלָה</t>
  </si>
  <si>
    <t>1) (Qal) to lament, wail</t>
  </si>
  <si>
    <t>to wail</t>
  </si>
  <si>
    <t>(a) qal   to cry, lament</t>
  </si>
  <si>
    <t>H0422 = אָלָה</t>
  </si>
  <si>
    <t>1) to swear, curse    1a) (Qal)    1a1) to swear, take an oath (before God)    1a2) to curse    1b) (Hiphil)    1b1) to put under oath, adjure    1b2) to put under a curse</t>
  </si>
  <si>
    <t>to swear</t>
  </si>
  <si>
    <t>(b) qal   to utter a curse; (c) hif.   to menace with a curse; (d)   to be unable</t>
  </si>
  <si>
    <t>H0423 = אָלָה</t>
  </si>
  <si>
    <t>1) oath    2) oath of covenant    3) curse    3a) from God    3b) from men    4) execration</t>
  </si>
  <si>
    <t>oath</t>
  </si>
  <si>
    <t>curse</t>
  </si>
  <si>
    <t>H0424 = אֵלָה</t>
  </si>
  <si>
    <t>1) terebinth, terebinth tree    2) valley where David killed Goliath</t>
  </si>
  <si>
    <t>oak</t>
  </si>
  <si>
    <t>(1)   terebinth tree</t>
  </si>
  <si>
    <t>H0425 = אֵלָה</t>
  </si>
  <si>
    <t>Elah = "An oak"    1) an Edomite chief    2) a king of Israel for two years, son of Baasha    3) the father of king Hoshea of Israel    4) a son of Caleb    5) son of Uzzi</t>
  </si>
  <si>
    <t>Elah</t>
  </si>
  <si>
    <t>(2a)   Elah; chief of Edom; (2b)   Elah; son of Baasha; king of Israel (886/85-885/84); (2c)   Elah; father of Hoshea, king of Israel; (2d)   Elah; son of Caleb; tribe of Judah; (2e)   Elah; son of Uzzi; tribe of Benjamin; after exile</t>
  </si>
  <si>
    <t>H0426 = אֱלָהּ</t>
  </si>
  <si>
    <t>1) god, God    1a) god, heathen deity    1b) God (of Israel)</t>
  </si>
  <si>
    <t>god, God</t>
  </si>
  <si>
    <t>H0427 = אַלָּה</t>
  </si>
  <si>
    <t>1) oak    2) terebinth</t>
  </si>
  <si>
    <t>H0428 = אֵ֫לֶּה</t>
  </si>
  <si>
    <t>1) these    1a) used before antecedent    1b) used following antecedent</t>
  </si>
  <si>
    <t>H0429 = אֵלֶּה</t>
  </si>
  <si>
    <t>H0430 = אֱלֹהִים</t>
  </si>
  <si>
    <t>1) (plural)    1a) rulers, judges    1b) divine ones    1c) angels    1d) gods    2) (plural intensive-singular meaning)    2a) god, goddess    2b) godlike one    2c) works or special possessions of God    2d) the (true) God    2e) God</t>
  </si>
  <si>
    <t>God</t>
  </si>
  <si>
    <t>H0431 = אֲלוּ</t>
  </si>
  <si>
    <t>1) behold!, lo!</t>
  </si>
  <si>
    <t>behold</t>
  </si>
  <si>
    <t>H0432 = אִלּוּ</t>
  </si>
  <si>
    <t>1) if, though (contrary to fact)</t>
  </si>
  <si>
    <t>except</t>
  </si>
  <si>
    <t>conjunction   conjunction: if</t>
  </si>
  <si>
    <t>H0433 = אֱלֹהַּ</t>
  </si>
  <si>
    <t>1) God    2) false god</t>
  </si>
  <si>
    <t>H0434 = אֱלוּל</t>
  </si>
  <si>
    <t>1) worthless, something worthless, ineffective    2) worthless gods, idols</t>
  </si>
  <si>
    <t>worthless</t>
  </si>
  <si>
    <t>H0435 = אֱלוּל</t>
  </si>
  <si>
    <t>Elul = "nothingness"    1) sixth Jewish month corresponding to modern Aug. or Sep.</t>
  </si>
  <si>
    <t>Elul</t>
  </si>
  <si>
    <t>name of month; post-exilic; August/September</t>
  </si>
  <si>
    <t>H0436 = אֵלוֹן</t>
  </si>
  <si>
    <t>1) tree, great tree, terebinth    2) plain</t>
  </si>
  <si>
    <t>H0437 = אַלּוֹן</t>
  </si>
  <si>
    <t>1) oak, great tree</t>
  </si>
  <si>
    <t>(1)   oak tree</t>
  </si>
  <si>
    <t>H0438 = אַלּוֹן</t>
  </si>
  <si>
    <t>Allon = "great tree" or "oak"    1) city in Naphtali    2) a Simeonite</t>
  </si>
  <si>
    <t>Allon</t>
  </si>
  <si>
    <t>(2)   Allon; son of Jedaya; tribe of Simeon</t>
  </si>
  <si>
    <t>H0439 = אַלּוֹן בָּכוּת</t>
  </si>
  <si>
    <t>Allon Bachuth = "oak of weeping"    1) site of Deborah's (Rebekah's nurse) grave near Bethel</t>
  </si>
  <si>
    <t>Allon-bacuth</t>
  </si>
  <si>
    <t>H0440 = אֵלֹנִי</t>
  </si>
  <si>
    <t>Elonite = "might" or "terebinth: a plain"    1) one of the clan of Elon</t>
  </si>
  <si>
    <t>Elonite</t>
  </si>
  <si>
    <t>Elonite; descendant of Elon, son of Zebulun</t>
  </si>
  <si>
    <t>H0441a = אַלּוּף</t>
  </si>
  <si>
    <t>1) tame, docile    2) friend, intimate</t>
  </si>
  <si>
    <t>tame</t>
  </si>
  <si>
    <t>(b)   confiding, tame</t>
  </si>
  <si>
    <t>H0441b = אַלּוּף</t>
  </si>
  <si>
    <t>1) chief</t>
  </si>
  <si>
    <t>chief</t>
  </si>
  <si>
    <t>(c)   ox; (d)   chief</t>
  </si>
  <si>
    <t>H0442 = אָלוּשׁ</t>
  </si>
  <si>
    <t>Alush = "I will knead (bread)"    1) a wilderness encampment following the Exodus</t>
  </si>
  <si>
    <t>Alush</t>
  </si>
  <si>
    <t>Alush; location along route of exodus</t>
  </si>
  <si>
    <t>H0443 = אֶלְזָבָד</t>
  </si>
  <si>
    <t>Elzabad = "God has given"    1) a Gadite warrior who aided David    2) a Korhite Levite</t>
  </si>
  <si>
    <t>Elzabad</t>
  </si>
  <si>
    <t>(a)   Elzabad; warrior; tribe of Gad; time of king David; (b)   Elzabad; son of Shemaiah; gatekeeper; time of king David</t>
  </si>
  <si>
    <t>H0444 = אָלַח</t>
  </si>
  <si>
    <t>1) (Niphal) to be corrupt morally, tainted</t>
  </si>
  <si>
    <t>to corrupt</t>
  </si>
  <si>
    <t>nif.   to be corrupt</t>
  </si>
  <si>
    <t>H0445 = אֶלְחָנָן</t>
  </si>
  <si>
    <t>Elhanan = "God has been gracious"    1) Jair's son who fought the Gittites    2) Dodo's son who was a chief of David</t>
  </si>
  <si>
    <t>Elhanan</t>
  </si>
  <si>
    <t>Elhanan; warrior(s); time of king David</t>
  </si>
  <si>
    <t>H0446 = אֱלִיאָב</t>
  </si>
  <si>
    <t>Eliab = "my God is father" or "God is father"    1) son of Helon, leader of Zebulun in the wilderness    2) a Reubenite chief, father of Dathan and Abiram    3) David's oldest brother    4) a Levite musician    5) a Gadite warrior for David    6) a Kohathite</t>
  </si>
  <si>
    <t>Eliab</t>
  </si>
  <si>
    <t>(a)   Eliab; son of Helon; chief; tribe of Zebulun; time of Moses; (b)   Eliab; father of Dathan and Abiram; tribe of Reuben; (c)   Eliab; oldest son of Jesse; brother of David; tribe of Judah; (d) אֱלִיהוּא ,אֱלִיאֵל   Eliab; descendant of Elkanah; grandfather of Samuel; tribe of Levi; (e)   Eliab; various men; tribe of Levi; (f)   Eliab; warrior; tribe of Gad; time of king David</t>
  </si>
  <si>
    <t>H0447 = אֱלִיאֵל</t>
  </si>
  <si>
    <t>Eliel = "my God is God" or "El is God"    1) an ancestor of Samuel    2) chief in David's army (might be two or three different men)    3) a Levite with David in moving the ark    4) a chief of Manasseh    5) two chiefs of Benjamin    6) a chief Kohathite    7) a Levite</t>
  </si>
  <si>
    <t>Eliel</t>
  </si>
  <si>
    <t>(a)   Eliel; family head; tribe of Manasseh; (b) אֱלִיהוּא ,אֱלִיאָב   Eliel; descendant of Elkanah; ancestor of Samuel, Heman; tribe of Levi; (c)   Eliel; son of Shimei; family head; tribe of Benjamin; (d)   Eliel; son of Shashak; family head; tribe of Benjamin; (e)   Eliel; various warriors; time of king David; (f)   Eliel; chief; descendants of Hebron; tribe of levi; (g)   Eliel; official; time of king Hezekiah</t>
  </si>
  <si>
    <t>H0448 = אֳלִיאָ֫תָה</t>
  </si>
  <si>
    <t>Eliathah = "God has come"    1) a Hemanite musician in David's court</t>
  </si>
  <si>
    <t>Eliathah</t>
  </si>
  <si>
    <t>Eliathah; son of Heman; temple singer; time of king David</t>
  </si>
  <si>
    <t>H0449 = אֱלִידָד</t>
  </si>
  <si>
    <t>Elidad = "my God has loved"    1) a Benjamite chief who helped apportion his tribe's allotment to the Promised Land</t>
  </si>
  <si>
    <t>Elidad</t>
  </si>
  <si>
    <t>Elidad; son of Chislon; tribe of Benjamin</t>
  </si>
  <si>
    <t>H0450 = אֶלְיָדָע</t>
  </si>
  <si>
    <t>Eliadah or Eliada = "God knows"    1) a son of David    2) a Benjamite warrior chief    3) an Aramean, the father of an enemy of Solomon</t>
  </si>
  <si>
    <t>Eliada</t>
  </si>
  <si>
    <t>(a) בְּעֶלְיָדָע   Eliada; son of David; tribe of Judah; (b)   Eliada; father of Rezon, king of Damascus; (c)   Eliada; chief of army; time of Jehoshaphat</t>
  </si>
  <si>
    <t>H0451 = אַלְיָה</t>
  </si>
  <si>
    <t>1) tail, fat-tail (of sheep-an Eastern delicacy)</t>
  </si>
  <si>
    <t>fat tail</t>
  </si>
  <si>
    <t>H0452 = אֵלִיָּה</t>
  </si>
  <si>
    <t>Elijah or Eliah = "my God is Jehovah" or "Yah(u) is God"    1) the great prophet of the reign of Ahab    2) Benjamite son of Jeroham    3) a son of Elam with foreign wife during exile    4) a son of Harim, and priest, with foreign wife during exile</t>
  </si>
  <si>
    <t>Elijah</t>
  </si>
  <si>
    <t>(a) אֵלִיָּהוּ   Elijah; prophet; time of king Ahab; (b)   Elijah; son of Jeroham; family head; tribe of Benjamin; (c)   Elijah; various men; married foreign wives; after exile</t>
  </si>
  <si>
    <t>H0453 = אֱלִיהוּ</t>
  </si>
  <si>
    <t>Elihu = "He is my God"    1) the younger man who rebuked Job and his three friends    2) an Ephraimite, Samuel's great grandfather    3) a Manassite warrior chief for David    4) son of Shemaiah and Korhite gatekeeper    5) David's brother</t>
  </si>
  <si>
    <t>Elihu</t>
  </si>
  <si>
    <t>(a)   Elihu; son of Shemaiah; gatekeeper; tribe of Levi; (b)   Elihu; brother of David; chief; tribe of Judah ; (a) אֱלִיאֵל ,אֱלִיאָב   Elihu; descendant of Elkanah; grandfather of Samuel; tribe of Levi; (b)   Elihu; warrior; tribe of Manasseh; time of David; (c)   Elihu; friend of Job</t>
  </si>
  <si>
    <t>H0454a = אֶלְיְהוֹעֵינַי</t>
  </si>
  <si>
    <t>Elioenai or Elihoenai = "unto Jehovah are my eyes"    1) a Korahite temple doorkeeper, son of Meshelemiah    2) a returning exile</t>
  </si>
  <si>
    <t>Elihoenai</t>
  </si>
  <si>
    <t>(a)   Eliehoenai; son of Meshelemiah; gatekeeper; time of king David; (b)   Eliehoenai; son of Zerahiah; clan of Pahath-Moab; after exile</t>
  </si>
  <si>
    <t>H0454b = אֶלְיוֹעֵינַי</t>
  </si>
  <si>
    <t>Elioenai or Elihoenai = "unto Jehovah are my eyes"    1) a descendant of David    2) a Simeonite    3) a Benjamite, a son of Becher    4) priests in time of Ezra</t>
  </si>
  <si>
    <t>Elioenai</t>
  </si>
  <si>
    <t>(a)   Elioenai; descendant of Zerubbabel; tribe of Judah; (b)   Elioenai; man; tribe of Simeon; (c)   Elioenai; son of Becher; tribe of Benjamin; (d)   Elioenai; various priests; after exile; (e)   Elioenai; man; time of Ezra</t>
  </si>
  <si>
    <t>H0455 = אֶלְיַחְבָּא</t>
  </si>
  <si>
    <t>Eliahba = "God hides"    1) one of David's mighty warriors</t>
  </si>
  <si>
    <t>Eliahba</t>
  </si>
  <si>
    <t>Eliahba; from Shaalbon; warrior; time of king David</t>
  </si>
  <si>
    <t>H0456 = אֱלִיחֹ֫רֶף</t>
  </si>
  <si>
    <t>Elihoreph = "God of winter (harvest-time)"    1) a scribe in Solomon's court</t>
  </si>
  <si>
    <t>Elihoreph</t>
  </si>
  <si>
    <t>Elihoreph; son of Shisha; official; time of king Solomon</t>
  </si>
  <si>
    <t>H0457 = אֱלִיל</t>
  </si>
  <si>
    <t>1) of nought, good for nothing, worthless    1a) of physicians, a shepherd, a divination    1b) of false gods</t>
  </si>
  <si>
    <t>idol</t>
  </si>
  <si>
    <t>(a)   nought, vain; (b)   idol</t>
  </si>
  <si>
    <t>H0458 = אֱלִימֶ֫לֶךְ</t>
  </si>
  <si>
    <t>Elimelech = "my God is king"    1) Naomi's husband</t>
  </si>
  <si>
    <t>Elimelech</t>
  </si>
  <si>
    <t>Elimelech; man from Bethlehem; time of judges</t>
  </si>
  <si>
    <t>H0459 = אִלֵּין</t>
  </si>
  <si>
    <t>H0460 = אֶלְיָסָף</t>
  </si>
  <si>
    <t>Eliasaph = "God has added"    1) a Gadite chief in the wilderness census    2) a head of the Gershonites</t>
  </si>
  <si>
    <t>Eliasaph</t>
  </si>
  <si>
    <t>(a)   Eliasaph; son of Deuel; chief; tribe of Gad; time of Moses; (b)   Eliasaph; man; tribe of Levi</t>
  </si>
  <si>
    <t>H0461 = אֱלִיעֶ֫זֶר</t>
  </si>
  <si>
    <t>Eliezer = "God is help"    1) Abraham's Damascene servant    2) a son of Moses    3) a Benjamite    4) a priest who helped move the ark    5) a Reubenite    6) a prophet who spoke to Jehoshaphat    7) a Levite chief    8) son of Harim    9) priest with foreign wife</t>
  </si>
  <si>
    <t>Eliezer</t>
  </si>
  <si>
    <t>(a)   Eliezer; slave of Abraham; (b)   Eliezer; son of Moses; (c)   Eliezer; son of Becher; tribe of Benjamin; (d)   Eliezer; priest; time of David; (e)   Eliezer; son of Zichri; chief; tribe of Reuben; time of David; (f)   Eliezer; son of Dodavahu; prophet; time of king Jehoshaphat; (g)   Eliezer; various men; after exile</t>
  </si>
  <si>
    <t>H0462 = אֱלִיעֵינַי</t>
  </si>
  <si>
    <t>Elienai = "unto God are my eyes"    1) a Benjamite</t>
  </si>
  <si>
    <t>Elienai</t>
  </si>
  <si>
    <t>Elienai; son of Shimei; family head; tribe of Benjamin</t>
  </si>
  <si>
    <t>H0463 = אֱלִיעָם</t>
  </si>
  <si>
    <t>Eliam = "God of the people" or "God is kinsman"    1) Bathsheba's father    2) a Gilonite warrior of David</t>
  </si>
  <si>
    <t>Eliam</t>
  </si>
  <si>
    <t>(a) עַמִּיאֵל   Eliam; father of Bathsheba, wife of Uriah, David; (b)   Eliam; son of Ahitophel; warrior; time of king David</t>
  </si>
  <si>
    <t>H0464 = אֱלִיפַז</t>
  </si>
  <si>
    <t>Eliphaz = "my God is (fine) gold"    1) Esau's son, father of Teman    2) the Temanite friend of Job</t>
  </si>
  <si>
    <t>Eliphaz</t>
  </si>
  <si>
    <t>(a)   Eliphaz; son of Esau; (b)   Eliphaz; Temanite; friend of Job</t>
  </si>
  <si>
    <t>H0465 = אֱלִיפָל</t>
  </si>
  <si>
    <t>Eliphal = "my God is supplication"    1) one of David's mighty warriors</t>
  </si>
  <si>
    <t>Eliphal</t>
  </si>
  <si>
    <t>Eliphal; son of Ur; warrior; time of king David</t>
  </si>
  <si>
    <t>H0466 = אֱלִיפְלֵ֫הוּ</t>
  </si>
  <si>
    <t>Elipheleh = "my God sets him apart" or "my God distinguishes him"    1) a Levite gatekeeper and musician for David</t>
  </si>
  <si>
    <t>Eliphelehu</t>
  </si>
  <si>
    <t>Eliphelehu; Levite; time of king David</t>
  </si>
  <si>
    <t>H0467 = אֲלִיפֶ֫לֶט</t>
  </si>
  <si>
    <t>Elpalet or Eliphalet or Eliphelet = "God is deliverance"    1) David's youngest son    2) one of David's mighty warriors    3) a Benjamite descendant of Jonathan    4) a leader of the clan of Adonikam    5) one of the line of Hashum</t>
  </si>
  <si>
    <t>Eliphelet</t>
  </si>
  <si>
    <t>(a)   Eliphelet; son of David; tribe of Judah; (b)   Eliphelet; warrior; time of king David; (c)   Eliphelet; son of Eshek; tribe of Benjamin; (d)   Eliphelet; various men; after exile</t>
  </si>
  <si>
    <t>H0468 = אֱלִיצוּר</t>
  </si>
  <si>
    <t>Elizur = "my God is a rock" or "Rock is God"    1) a chief of Reuben in the wilderness</t>
  </si>
  <si>
    <t>Elizur</t>
  </si>
  <si>
    <t>Elizur; son of Shedeur; chief; tribe of Reuben; time of Moses</t>
  </si>
  <si>
    <t>H0469 = אֱלִיצָפָן</t>
  </si>
  <si>
    <t>Elizaphan or Elzaphan = "my God has protected"    1) a Kohathite chief in the wilderness    2) a Zebulunite chief    3) Uzziel's son, Mishael's brother in time of Moses</t>
  </si>
  <si>
    <t>Elizaphan</t>
  </si>
  <si>
    <t>(a) אֶלְצָפָן   Elizaphan; son of Uzziel; tribe of Levi; (b)   Elizaphan; son of Parnach; chief; tribe of Zebulun</t>
  </si>
  <si>
    <t>H0470 = אֱלִיקָא</t>
  </si>
  <si>
    <t>Elika = "my God rejects"    1) one of David's mighty warriors</t>
  </si>
  <si>
    <t>Elika</t>
  </si>
  <si>
    <t>Elika; from Harod; warrior; time of David</t>
  </si>
  <si>
    <t>H0471 = אֶלְיָקִים</t>
  </si>
  <si>
    <t>Eliakim = "God raises" or "God sets up"    1) the son of Hilkiah, master of Hezekiah's household    2) Josiah's son, enthroned by Pharaoh    3) a priest who assisted Nehemiah</t>
  </si>
  <si>
    <t>Eliakim</t>
  </si>
  <si>
    <t>(a)   Eliakim; son of Hilkiah; official; time of king Hezekiah; (b) יְהוֹיָקִים   Eliakim; son of Josiah; king of Juda ; (c)   Eliakim; priest; after exile</t>
  </si>
  <si>
    <t>H0472 = אֱלִישֶׁ֫בַע</t>
  </si>
  <si>
    <t>Elisheba = "my God has sworn" or "God is an oath"    1) Aaron's wife</t>
  </si>
  <si>
    <t>Elisheba</t>
  </si>
  <si>
    <t>Elisheba; daughter of Amminadab; wife of Aaron</t>
  </si>
  <si>
    <t>H0473 = אֱלִישָׁה</t>
  </si>
  <si>
    <t>Elishah = "God of the coming (one)"    1) descendant of Noah, son of Javan; perhaps ancestor of the Aeolians</t>
  </si>
  <si>
    <t>Elishah</t>
  </si>
  <si>
    <t>Elishah; son of Javan; descendant of Japheth</t>
  </si>
  <si>
    <t>H0474 = אֱלִישׁוּעַ</t>
  </si>
  <si>
    <t>Elishua = "my God is wealth" or "God is salvation"    1) a son of David</t>
  </si>
  <si>
    <t>Elishua</t>
  </si>
  <si>
    <t>Elishua; son of David; tribe of Judah</t>
  </si>
  <si>
    <t>H0475 = אֶלְיָשִׁיב</t>
  </si>
  <si>
    <t>Eliashib = "God restores"    1) a priest in David's reign    2) a descendant of David    3) a high priest in Nehemiah's time    4) a temple singer with foreign wife    5) one of the line of Zattu    6) one of the line of Bani</t>
  </si>
  <si>
    <t>Eliashib</t>
  </si>
  <si>
    <t>(a)   Eliashib; descendant of Zerubbabel; tribe of Judah; (b)   Eliashib; priest; time of king David; (c)   Eliashib; various men; married foreign wives; after exile; (d)   Eliashib; high-priest; after exile</t>
  </si>
  <si>
    <t>H0476 = אֱלִישָׁמָע</t>
  </si>
  <si>
    <t>Elishama = "my God has heard"    1) an Ephraimite chief in the wilderness    2) a son of David    3) Jehoiakim's secretary    4) a priest who taught the law    5) a man of Judah</t>
  </si>
  <si>
    <t>Elishama</t>
  </si>
  <si>
    <t>(a)   Elishama; son of Ammihud; chief; tribe of Ephraim; ancestor of Joshua; (b)   Elishama; son of David; tribe of Judah; (c)   Elishama; grandfather of Ishmael; (d)   Elishama; son of Jekamiah; tribe of Judah; (e)   Elishama; priest; time of Jehoshaphat; (f)   Elishama; official; time of Jehoiakim</t>
  </si>
  <si>
    <t>H0477 = אֱלִישָׁע</t>
  </si>
  <si>
    <t>Elisha = "God is salvation"    1) the great prophet who succeeded Elijah</t>
  </si>
  <si>
    <t>Elisha</t>
  </si>
  <si>
    <t>Elisha; son of Shaphat; prophet</t>
  </si>
  <si>
    <t>H0478 = אֱלִישָׁפָט</t>
  </si>
  <si>
    <t>Elishaphat = "my God has judged"    1) a captain for the high priest Jehoiada</t>
  </si>
  <si>
    <t>Elishaphat</t>
  </si>
  <si>
    <t>Elishaphat; son of Zichri; army officer; time of queen Athaliah</t>
  </si>
  <si>
    <t>H0479 = אִלֵּךְ</t>
  </si>
  <si>
    <t>H0480 = אַלְלַי</t>
  </si>
  <si>
    <t>1) woe! alas!</t>
  </si>
  <si>
    <t>H0481 = אָלַם</t>
  </si>
  <si>
    <t>1) to bind    1a) (Niphal)    1a1) to be dumb    1a2) to be bound    1b) (Piel) binding (part.)</t>
  </si>
  <si>
    <t>be dumb</t>
  </si>
  <si>
    <t>(a) nif.   to be dumb, silent; (b) pi.   to bind</t>
  </si>
  <si>
    <t>H0482 = אֵ֫לֶם</t>
  </si>
  <si>
    <t>1) in silence, silent</t>
  </si>
  <si>
    <t>silence</t>
  </si>
  <si>
    <t>silence?</t>
  </si>
  <si>
    <t>H0483 = אִלֵּם</t>
  </si>
  <si>
    <t>1) mute, silent, dumb, unable to speak</t>
  </si>
  <si>
    <t>mute</t>
  </si>
  <si>
    <t>dumb</t>
  </si>
  <si>
    <t>H0484 = אַלְמֻגִּים</t>
  </si>
  <si>
    <t>1) a tree from Lebanon, almug trees (sandalwood?), almug wood</t>
  </si>
  <si>
    <t>almug</t>
  </si>
  <si>
    <t>sandal tree</t>
  </si>
  <si>
    <t>H0485 = אֲלֻמָה</t>
  </si>
  <si>
    <t>1) sheaf (as something bound)    1a) of Israel returning from exile (fig.)</t>
  </si>
  <si>
    <t>sheaf</t>
  </si>
  <si>
    <t>H0486 = אַלְמוֹדָד</t>
  </si>
  <si>
    <t>Almodad = "not measured"    1) a descendant of Shem</t>
  </si>
  <si>
    <t>Almodad</t>
  </si>
  <si>
    <t>Almodad; son of Joktan; descendant of Shem</t>
  </si>
  <si>
    <t>H0487 = אַלַּמֶּלֶךְ</t>
  </si>
  <si>
    <t>Alammelech = "oak of the king"    1) a town or site in Asher</t>
  </si>
  <si>
    <t>Allammelech</t>
  </si>
  <si>
    <t>Allammelech; town; territory of Asher</t>
  </si>
  <si>
    <t>H0488 = אַלְמָן</t>
  </si>
  <si>
    <t>1) widowed, forsaken, forsaken as a widow</t>
  </si>
  <si>
    <t>forsaken</t>
  </si>
  <si>
    <t>widowhood</t>
  </si>
  <si>
    <t>H0489 = אַלְמֹן</t>
  </si>
  <si>
    <t>1) widowhood</t>
  </si>
  <si>
    <t>widower</t>
  </si>
  <si>
    <t>H0490 = אַלְמָנָה</t>
  </si>
  <si>
    <t>1) widow</t>
  </si>
  <si>
    <t>widow</t>
  </si>
  <si>
    <t>H0491 = אַלְמָנוּת</t>
  </si>
  <si>
    <t>H0492 = אַלְמֹנִי</t>
  </si>
  <si>
    <t>1) someone, a certain one</t>
  </si>
  <si>
    <t>someone</t>
  </si>
  <si>
    <t>a certain (person, place)</t>
  </si>
  <si>
    <t>H0493 = אֶלְנָ֑עַם</t>
  </si>
  <si>
    <t>Elnaam = "God is delight" or "God is pleasantness"    1) the father of two of David's mighty warriors</t>
  </si>
  <si>
    <t>Elnaam</t>
  </si>
  <si>
    <t>Elnaam; father of Jeribai and Joshaviah</t>
  </si>
  <si>
    <t>H0494 = אֶלְנָתָן</t>
  </si>
  <si>
    <t>Elnathan = "God has given"    1) king Jehoiachin's maternal grandfather    2) three chief men in Ezra's time    3) son of Achbor, a military commander under Jehoiakim</t>
  </si>
  <si>
    <t>Elnathan</t>
  </si>
  <si>
    <t>(a)   Elnathan; father of Nehushta, wife of king Jehoiakim; (b)   Elnathan; son of Achbor; official; time of king Jehoiakim; (c)   Elnathan; chief; after exile</t>
  </si>
  <si>
    <t>H0495 = אֶלָּסָר</t>
  </si>
  <si>
    <t>Ellasar = "God is chastener"    1) a town in Babylonia, c. 28 miles (50 km) E of Ur</t>
  </si>
  <si>
    <t>Ellasar</t>
  </si>
  <si>
    <t>Ellasar; location</t>
  </si>
  <si>
    <t>H0496 = אֶלְעָד</t>
  </si>
  <si>
    <t>Elead = "God has testified"    1) a descendant of Ephraim</t>
  </si>
  <si>
    <t>Elead</t>
  </si>
  <si>
    <t>Elad; son of Ephraim</t>
  </si>
  <si>
    <t>H0497 = אֶלְעָדָה</t>
  </si>
  <si>
    <t>Eladah = "God has adorned"    1) a descendant of Ephraim</t>
  </si>
  <si>
    <t>Eleadah</t>
  </si>
  <si>
    <t>Eleadah; son of Tahath; tribe of Ephraim</t>
  </si>
  <si>
    <t>H0498 = אֶלְעוּזַי</t>
  </si>
  <si>
    <t>Eluzai = "God is my strength"    1) a Benjamite warrior who joined David</t>
  </si>
  <si>
    <t>Eluzai</t>
  </si>
  <si>
    <t>Eluzai; man; warrior; time of David</t>
  </si>
  <si>
    <t>H0499 = אֶלְעָזָר</t>
  </si>
  <si>
    <t>Eleazar = "God has helped"    1) the high priest son of Aaron    2) Abinadab's son who cared for the ark    3) the priest who rebuilt and dedicated the restored walls of Jerusalem in time of Ezra    4) one of David's mighty warriors    5) a Levite    6) one of the line of Parosh</t>
  </si>
  <si>
    <t>Eleazar</t>
  </si>
  <si>
    <t>(a)   Eleazar; son of Aaron; high-priest; (b)   Eleazar; man; son of Abinadab; (c)   Eleazar; son of Dodo, Dodai; warrior; time of David; (d)   Eleazar; man; tribe of Levi; (e)   Eleazar; various men</t>
  </si>
  <si>
    <t>H0500 = אֶלְעָלֵא</t>
  </si>
  <si>
    <t>Elealeh = "God is ascending"    1) a Reubenite village near Heshbon (in ruins)</t>
  </si>
  <si>
    <t>Elealeh</t>
  </si>
  <si>
    <t>Elealeh; town; territory of Reuben</t>
  </si>
  <si>
    <t>H0501 = אֶלְעָשָׂה</t>
  </si>
  <si>
    <t>Elasah or Eleasah = "God has made"    1) a descendant of Judah, son of Helez    2) a priest of Pashur's line with a foreign wife during Ezra's time    3) Shaphan's son, Zedekiah's servant    4) a descendant of Benjamin, son of Rapha, father of Azel</t>
  </si>
  <si>
    <t>Elasah</t>
  </si>
  <si>
    <t>(a)   Eleasah; descendant of Jerahmeel; tribe of Judah; (c)   Eleasah; son of Raphah; tribe of Benjamin; (d)   Eleasah; priest; time of Ezra; (e)   Eleasah; son of Shaphan; official; time of Zedekiah</t>
  </si>
  <si>
    <t>H0502 = אָלַף</t>
  </si>
  <si>
    <t>1) to learn    1a) (Qal) to learn    1b) (Piel) to teach</t>
  </si>
  <si>
    <t>to teach|learn</t>
  </si>
  <si>
    <t>(a) qal   to become familiar; (b) pi.   to teach; (c) hif.   to bring forth thousands</t>
  </si>
  <si>
    <t>H0503 = אָלַף</t>
  </si>
  <si>
    <t>v    1) (CLBL) to make thousand-fold, bring forth thousands    2) (TWOT) (Hiphil) producing thousands    n m    3)(BDB) chief, chiliarch</t>
  </si>
  <si>
    <t>to produce thousands</t>
  </si>
  <si>
    <t>H0504 = אֶ֫לֶף</t>
  </si>
  <si>
    <t>1) cattle, oxen    1a) in farming    1b) as a possession</t>
  </si>
  <si>
    <t>cattle</t>
  </si>
  <si>
    <t>(1a)   cattle</t>
  </si>
  <si>
    <t>H0505 = אֶ֫לֶף</t>
  </si>
  <si>
    <t>1) a thousand    1a) as numeral    2) a thousand, company    2a) as a company of men under one leader, troops</t>
  </si>
  <si>
    <t>thousand</t>
  </si>
  <si>
    <t>(1c) numeral   thousand</t>
  </si>
  <si>
    <t>H0506 = אֲלַ֑ף</t>
  </si>
  <si>
    <t>1) a thousand, 1000</t>
  </si>
  <si>
    <t>H0507 = הָאֶ֫לֶף</t>
  </si>
  <si>
    <t>Eleph = "thousand"    1) a city in the territory of Benjamin</t>
  </si>
  <si>
    <t>Haeleph</t>
  </si>
  <si>
    <t>(2)   Haeleph; town; territory of Benjamin</t>
  </si>
  <si>
    <t>H0508 = אֶלְפַּ֫עַל</t>
  </si>
  <si>
    <t>Elpaal = "God is maker"    1) a Benjamite</t>
  </si>
  <si>
    <t>Elpaal</t>
  </si>
  <si>
    <t>(a)   Elpaal; son of Shaharaim; tribe of Benjamin; (b)   Elpaal; man; tribe of Benjamin</t>
  </si>
  <si>
    <t>H0509 = אָלַץ</t>
  </si>
  <si>
    <t>1) (Piel) to urge</t>
  </si>
  <si>
    <t>to urge</t>
  </si>
  <si>
    <t>H0510 = אַלְקוּם</t>
  </si>
  <si>
    <t>1) (TWOT) (neg adv) no, not, nor, neither    2) (BDB) band of soldiers    3) (CLBL) no rebellion, no uprising (lit.)</t>
  </si>
  <si>
    <t>army</t>
  </si>
  <si>
    <t>H0511 = אֶלְקָנָה</t>
  </si>
  <si>
    <t>Elkanah = "God has possessed" or "God has created"    1) Samuel's father    2) a ruler in Jerusalem in the time of king Ahaz    3) one of David's mighty warriors    4) son of Korah    5) several Levites</t>
  </si>
  <si>
    <t>Elkanah</t>
  </si>
  <si>
    <t>(a)   Elkanah; son of Assir; descendant of Kohath; tribe of Levi; (b)   Elkanah; son of Jeroham; father of Samuel; ancestor of Heman; (c)   Elkanah; warrior; time of king David; (d)   Elkanah; man; tribe of Levi; (e)   Elkanah; son of Ahimoth, Mahath; ancestor of Samuel, Heman; tribe of Levi; (f)   Elkanah; son of Joel; ancestor of Heman; tribe of Levi; (g)   Elkanah; ancestor of Berechiah, Levite; (h)   Elkanah; carrier of ark; tribe of Levi; time of king David; (i)   Elkanah; second in command to king Ahaz</t>
  </si>
  <si>
    <t>H0512 = אֶלְקֹשִׁי</t>
  </si>
  <si>
    <t>Elkoshite = "God the ensnarer"    1) a native and/or descendant of Elkosh (location unknown)</t>
  </si>
  <si>
    <t>Elkoshite</t>
  </si>
  <si>
    <t>Elkoshite; inhabitant of Elkosh</t>
  </si>
  <si>
    <t>H0513 = אֶלְתּוֹלַד</t>
  </si>
  <si>
    <t>Eltolad = "God's generations"    1) a city in southern Judah</t>
  </si>
  <si>
    <t>Eltolad</t>
  </si>
  <si>
    <t>Eltolad; location; Eltolad</t>
  </si>
  <si>
    <t>H0514 = אֶלְתְּקֵא</t>
  </si>
  <si>
    <t>Eltekeh = "let God spue thee out"    1) Levitical city in the tribe of Dan, between Ekron and Timna</t>
  </si>
  <si>
    <t>Elteke</t>
  </si>
  <si>
    <t>Eltekeh; town; territory of Dan</t>
  </si>
  <si>
    <t>H0515 = אֶלְתְּקֹן</t>
  </si>
  <si>
    <t>Eltekon = "God is straight"    1) a city in the territory of Judah north of Hebron</t>
  </si>
  <si>
    <t>Eltekon</t>
  </si>
  <si>
    <t>Eltekon; town; territory of Judah</t>
  </si>
  <si>
    <t>H0516 = אַל תַּשְׁחֵת</t>
  </si>
  <si>
    <t>Al-taschith = "do not destroy"    1) (Hiphil) a command to the chief musician, or perhaps the title of a melody used for several Psalms</t>
  </si>
  <si>
    <t>Al-taschith</t>
  </si>
  <si>
    <t>H0517 = אֵם</t>
  </si>
  <si>
    <t>1) mother    1a) of humans    1b) of Deborah's relationship to the people (fig.)    1c) of animals    2) point of departure or division</t>
  </si>
  <si>
    <t>mother</t>
  </si>
  <si>
    <t>H0518a = אִם</t>
  </si>
  <si>
    <t>1) if    1a) conditional clauses    1a1) of possible situations    1a2) of impossible situations    1b) oath contexts    1b1) no, not    1c) if...if, whether...or, whether...or...or    1d) when, whenever    1e) since    1f) interrogative particle    1g) but rather</t>
  </si>
  <si>
    <t>if</t>
  </si>
  <si>
    <t>conjunction   conjunction: if, when, whether</t>
  </si>
  <si>
    <t>H0518b = כִּי אם־</t>
  </si>
  <si>
    <t>1) each particle retaining its independent force, and relating to a differentclause     1a) that if</t>
  </si>
  <si>
    <t>that if</t>
  </si>
  <si>
    <t>H0519 = אָמָה</t>
  </si>
  <si>
    <t>1) maid-servant, female slave, maid, handmaid, concubine    1a) of humility (fig.)</t>
  </si>
  <si>
    <t>maidservant</t>
  </si>
  <si>
    <t>slave, handmaid</t>
  </si>
  <si>
    <t>H0520a = אַמָּה</t>
  </si>
  <si>
    <t>1) cubit-a measure of distance (the forearm), roughly 18 in (. 5m). There are several cubits used in the OT, the cubit of a man or common cubit (&lt;ref="Deu.3.11"&gt;De 3:11&lt;/ref&gt;), the legal cubit or cubit of the sanctuary (&lt;ref="Ezk.40.5"&gt;Eze 40:5&lt;/ref&gt;) plus others. See a Bible Dictionary for a complete treatment.</t>
  </si>
  <si>
    <t>cubit</t>
  </si>
  <si>
    <t>(1c)   (ordinary) cubit: linear measure of 44.5 cm (24 fingers, 6 palms, 2 spans); (royal) cubit: linear measure of 51.81 cm (7 palms); (2)   Ammah; hill</t>
  </si>
  <si>
    <t>H0520b = אַמָּה</t>
  </si>
  <si>
    <t>1) foundation</t>
  </si>
  <si>
    <t>foundation</t>
  </si>
  <si>
    <t>(1b)   door-hinge</t>
  </si>
  <si>
    <t>H0521 = אַמָּה</t>
  </si>
  <si>
    <t>1) cubit-a measure of distance (the forearm), roughly 18 in (. 5 m)</t>
  </si>
  <si>
    <t>H0522 = אַמָּה</t>
  </si>
  <si>
    <t>Ammah = "a cubit"    1) a hill near Gibeon</t>
  </si>
  <si>
    <t>Ammah</t>
  </si>
  <si>
    <t>H0523 = אֻמָּה</t>
  </si>
  <si>
    <t>1) people, tribe, nation</t>
  </si>
  <si>
    <t>people</t>
  </si>
  <si>
    <t>tribe, nation</t>
  </si>
  <si>
    <t>H0524 = אֻמָּה</t>
  </si>
  <si>
    <t>H0525 = אָמוֹן</t>
  </si>
  <si>
    <t>1) artificer, architect, master workman, skilled workman</t>
  </si>
  <si>
    <t>artisan</t>
  </si>
  <si>
    <t>(1)   artificer?; (2a)   Amon; son of Manasse; king of Judah (643/42-641/40); (2b)   Amon; governor of Samaria; time of Ahab; (2c) אָמִי   Amon; family head; servants of Solomon; after exile; (2d)   Amon; Egyptian deity</t>
  </si>
  <si>
    <t>H0526 = אָמוֹן</t>
  </si>
  <si>
    <t>Amon = "skilled workman" or "master workman"    1) a king of Judah, son of Manasseh    2) a governor of Samaria    3) a descendant of a servant of Solomon</t>
  </si>
  <si>
    <t>Amon</t>
  </si>
  <si>
    <t>H0527 = אָמוֹן</t>
  </si>
  <si>
    <t>1) throng, multitude</t>
  </si>
  <si>
    <t>multitude</t>
  </si>
  <si>
    <t>H0528 = אָמוֹן</t>
  </si>
  <si>
    <t>Amon or Amun = "to nourish: to be faithful"    1) an Egyptian god, originally the local god of Thebes, later head of the Egyptian pantheon</t>
  </si>
  <si>
    <t>H0529 = אֵמֻן</t>
  </si>
  <si>
    <t>1) faithfulness, trusting    1a) faithful, trusty (as adj.)</t>
  </si>
  <si>
    <t>faithful</t>
  </si>
  <si>
    <t>H0530 = אֱמוּנָה</t>
  </si>
  <si>
    <t>1) firmness, fidelity, steadfastness, steadiness</t>
  </si>
  <si>
    <t>faithfulness</t>
  </si>
  <si>
    <t>(a)   steadiness; (b)   truth, faithfulness</t>
  </si>
  <si>
    <t>H0531 = אָמוֹץ</t>
  </si>
  <si>
    <t>Amoz = "strong"    1) father of Isaiah</t>
  </si>
  <si>
    <t>Amoz</t>
  </si>
  <si>
    <t>Amoz; father of prophet Isaiah</t>
  </si>
  <si>
    <t>H0532 = אָמִי</t>
  </si>
  <si>
    <t>Ami = "bond-servant"    1) a descendant of Amon, Solomon's servant</t>
  </si>
  <si>
    <t>Ami</t>
  </si>
  <si>
    <t>Ami; family head; servants of Solomon; after exile</t>
  </si>
  <si>
    <t>H0533 = אַמִּיץ</t>
  </si>
  <si>
    <t>1) strong, mighty</t>
  </si>
  <si>
    <t>H0534 = אָמִיר</t>
  </si>
  <si>
    <t>1) top, summit    1a) of tree    1b) of mountain</t>
  </si>
  <si>
    <t>top</t>
  </si>
  <si>
    <t>H0535 = אָמַל</t>
  </si>
  <si>
    <t>1) to be weak, to droop, to languish, to be exhausted    1a) (Qal) pass participle (of the heart)    1a1) to be weak    1a2) to droop    1b) (Pulal)    1b1) to be or grow feeble    1b2) to languish</t>
  </si>
  <si>
    <t>to weaken</t>
  </si>
  <si>
    <t>faint? \pulal   to wither</t>
  </si>
  <si>
    <t>H0536 = אֻמְלַל</t>
  </si>
  <si>
    <t>1) weak, feeble</t>
  </si>
  <si>
    <t>weak</t>
  </si>
  <si>
    <t>decaying</t>
  </si>
  <si>
    <t>H0537 = אֲמֵלָל</t>
  </si>
  <si>
    <t>decaying (of a sick person)</t>
  </si>
  <si>
    <t>H0538 = אֲמָם</t>
  </si>
  <si>
    <t>Amam = "their mother"    1) a city in southern Judah</t>
  </si>
  <si>
    <t>Amam</t>
  </si>
  <si>
    <t>Amam; town; territory of Judah</t>
  </si>
  <si>
    <t>H0539 = אָמַן</t>
  </si>
  <si>
    <t>1) to support, confirm, be faithful    1a) (Qal)    1a1) to support, confirm, be faithful, uphold, nourish    1a1a) foster-father (subst.)    1a1b) foster-mother, nurse    1a1c) pillars, supporters of the door    1b) (Niphal)    1b1) to be established, be faithful, be carried, make firm    1b1a) to be carried by a nurse    1b1b) made firm, sure, lasting    1b1c) confirmed, established, sure    1b1d) verified, confirmed    1b1e) reliable, faithful, trusty    1c) (Hiphil)    1c1) to stand firm, to trust, to be certain, to believe in    1c1a) stand firm    1c1b) trust, believe</t>
  </si>
  <si>
    <t>be faithful</t>
  </si>
  <si>
    <t>truth, faithfulness</t>
  </si>
  <si>
    <t>H0540 = אֲמַן</t>
  </si>
  <si>
    <t>1) to confirm, support    1a) (Aphel)    1a1) to believe in    1a2) to trust    1a3) trustworthy (pass participle)</t>
  </si>
  <si>
    <t>to trust</t>
  </si>
  <si>
    <t>H0541 = אָמַן</t>
  </si>
  <si>
    <t>1) (Hiphil) to take the right hand, to turn right, choose to the right, go to the right, use the right hand</t>
  </si>
  <si>
    <t>to turn right</t>
  </si>
  <si>
    <t>H0542 = אָמָּן</t>
  </si>
  <si>
    <t>1) master-workman, artist, steady-handed one, artisan</t>
  </si>
  <si>
    <t>artificer, artist</t>
  </si>
  <si>
    <t>H0543 = אָמֵן</t>
  </si>
  <si>
    <t>1) verily, truly, amen, so be it</t>
  </si>
  <si>
    <t>amen</t>
  </si>
  <si>
    <t>H0544 = אֹ֫מֶן</t>
  </si>
  <si>
    <t>1) faithfulness</t>
  </si>
  <si>
    <t>surely!</t>
  </si>
  <si>
    <t>H0545 = אׇמְנָה</t>
  </si>
  <si>
    <t>1) bringing up, nourishment, rearing, training, providing for (as a parent)</t>
  </si>
  <si>
    <t>brought up</t>
  </si>
  <si>
    <t>(a)   education, nursing; (b)   reality</t>
  </si>
  <si>
    <t>H0546 = אׇמְנָה</t>
  </si>
  <si>
    <t>1) verily, truly, indeed</t>
  </si>
  <si>
    <t>H0547 = אֹמְנָה</t>
  </si>
  <si>
    <t>1) pillar, supporters of the door    2) confirm, support, uphold</t>
  </si>
  <si>
    <t>door-post</t>
  </si>
  <si>
    <t>H0548 = אֲמָנָה</t>
  </si>
  <si>
    <t>1) faith, support, sure, certain    1a) of a covenant    1b) of financial support</t>
  </si>
  <si>
    <t>sure</t>
  </si>
  <si>
    <t>(1)   trustworthy arrangement</t>
  </si>
  <si>
    <t>H0549 = אֲמָנָה</t>
  </si>
  <si>
    <t>Amana = "support"    1) a river flowing into the plain of Damascus from Antilebanon    2) mountainous area of the river's origin</t>
  </si>
  <si>
    <t>Amana</t>
  </si>
  <si>
    <t>(2a)   Amanah; river; Syria; (b)   Amanah; mountain; Libanon</t>
  </si>
  <si>
    <t>H0550 = אַמְנוֹן</t>
  </si>
  <si>
    <t>Amnon = "faithful"    1) oldest son of David, rapist of Tamar, slain by Absalom    2) a son of Shimon (of Caleb's clan)</t>
  </si>
  <si>
    <t>Amnon</t>
  </si>
  <si>
    <t>(a) אֲמִינוֹן   Amnon; son of David; (b)   Amnon; son of Shimon; tribe of Judah</t>
  </si>
  <si>
    <t>H0551 = אׇמְנָם</t>
  </si>
  <si>
    <t>1) verily, truly, surely</t>
  </si>
  <si>
    <t>verily, indeed</t>
  </si>
  <si>
    <t>H0552 = אֻמְנָם</t>
  </si>
  <si>
    <t>H0553 = אָמֵץ</t>
  </si>
  <si>
    <t>1) to be strong, alert, courageous, brave, stout, bold, solid, hard    1a) (Qal) to be strong, brave, bold    1b) (Piel) to strengthen, secure (for oneself), harden (heart), make firm, make obstinate, assure    1c) (Hithpael) to be determined, to make oneself alert, strengthen oneself, confirm oneself, persist in, prove superior to    1d) (Hiphil) to exhibit strength, be strong, feel strong</t>
  </si>
  <si>
    <t>to strengthen</t>
  </si>
  <si>
    <t>(a) qal   to be strong; (b) pi.   to strengthen; (c)   to harden; (d) hitp.   to strengthen oneself; (e) hitp.   to take courage; (f) hif.   to take courage</t>
  </si>
  <si>
    <t>H0554 = אָמֹץ</t>
  </si>
  <si>
    <t>1) strong    2) bay, dappled, piebald (of colour)</t>
  </si>
  <si>
    <t>piebald</t>
  </si>
  <si>
    <t>H0555 = אֹ֫מֶץ</t>
  </si>
  <si>
    <t>1) strength</t>
  </si>
  <si>
    <t>H0556 = אַמְצָה</t>
  </si>
  <si>
    <t>H0557 = אַמְצִי</t>
  </si>
  <si>
    <t>Amzi = "my strength"    1) a Levite    2) the ancestor of a returned exile in the priestly line</t>
  </si>
  <si>
    <t>Amzi</t>
  </si>
  <si>
    <t>(a)   Amzi; son of Bani; ancestor of Ethan; tribe of Levi; (b)   Amzi; son of Zechariah; ancestor of Adaiah, priest; tribe of Levi</t>
  </si>
  <si>
    <t>H0558 = אֲמַצְיָ֫הוּ</t>
  </si>
  <si>
    <t>Amaziah = "Jehovah is mighty"    1) a king of Judah, son Joash, father of Azariah    2) a priest of Bethel under Jeroboam II    3) father of Joshah, of the tribe of Simeon    4) a Levite tabernacle singer in David's day</t>
  </si>
  <si>
    <t>Amaziah</t>
  </si>
  <si>
    <t>(a) אֲמַצְיָהוּ   Amaziah; son of Joash; king of Judah ; (b)   Amaziah; father of Joshah; tribe of Simeon; (c)   Amaziah; son of Hilkiah; ancestor of Ethan; tribe of Levi; (d)   Amaziah; priest of Bethel; time of prophet Amos</t>
  </si>
  <si>
    <t>H0559 = אָמַר</t>
  </si>
  <si>
    <t>1) to say, speak, utter    1a) (Qal) to say, to answer, to say in one's heart, to think, to command, to promise, to intend    1b) (Niphal) to be told, to be said, to be called    1c) (Hithpael) to boast, to act proudly    1d) (Hiphil) to avow, to avouch</t>
  </si>
  <si>
    <t>to say</t>
  </si>
  <si>
    <t>(a) qal   to say, command; (b) nif.   to be said, called; (c) hitp.   to boast oneself; (d) hif.   to cause to promise?</t>
  </si>
  <si>
    <t>H0560 = אֲמַר</t>
  </si>
  <si>
    <t>1) (P'al) to say, to speak, to command, to tell, to relate</t>
  </si>
  <si>
    <t>H0561 = אֵמֶר</t>
  </si>
  <si>
    <t>1) utterance, speech, word, saying, promise, command</t>
  </si>
  <si>
    <t>word</t>
  </si>
  <si>
    <t>(a)   saying; (b)   thing</t>
  </si>
  <si>
    <t>H0562 = אֹמֶר</t>
  </si>
  <si>
    <t>H0563 = אִמַּר</t>
  </si>
  <si>
    <t>1) lamb</t>
  </si>
  <si>
    <t>lamb</t>
  </si>
  <si>
    <t>H0564 = אִמֵּר</t>
  </si>
  <si>
    <t>Immer = "he hath said"    1) a priest in David's time    2) a priest in Jeremiah's time    3) the father of Zadok the priest    4) an ancestor of a priest</t>
  </si>
  <si>
    <t>Immer</t>
  </si>
  <si>
    <t>(a)   Immer; ancestor of Maasai, Amashsai, priest; (b)   Immer; priest; time of David; (c)   Immer; family head; after exile; (d)   Immer; location; (e)   Immer; father of Pashhur, priest</t>
  </si>
  <si>
    <t>H0565a = אִמְרָה</t>
  </si>
  <si>
    <t>1) utterance, speech, word    1a) word of God (command and promise)</t>
  </si>
  <si>
    <t>word, discourse</t>
  </si>
  <si>
    <t>H0565b = אֶמְרָה</t>
  </si>
  <si>
    <t>theat (of judgement from God)</t>
  </si>
  <si>
    <t>threat</t>
  </si>
  <si>
    <t>threat, warning</t>
  </si>
  <si>
    <t>H0566 = אִמְרִי</t>
  </si>
  <si>
    <t>Imri = "eloquent"    1) a man of Judah    2) an ancestor of one of Nehemiah's helpers</t>
  </si>
  <si>
    <t>Imri</t>
  </si>
  <si>
    <t>(a)   Imri; son of Bani; ancestor of Uthai; tribe of Judah; (b)   Imri; father of Zaccur; repairer of wall; after exile</t>
  </si>
  <si>
    <t>H0567 = אֱמֹרִי</t>
  </si>
  <si>
    <t>Amorite = "a sayer"    1) one of the peoples of east Canaan and beyond the Jordan, dispossessed by the Israelite incursion from Egypt</t>
  </si>
  <si>
    <t>Amorites</t>
  </si>
  <si>
    <t>Amorite; descendant of Canaan</t>
  </si>
  <si>
    <t>H0568 = אֲמַרְיָ֫הוּ</t>
  </si>
  <si>
    <t>Amariah = "Jehovah speaks" or "Yah(u) has promised"    1) Zadok's grandfather    2) a head priest's son in Solomon's time    3) a chief priest under Jehoshaphat    4) Hezekiah's son, great-grandfather of Zephaniah    5) a Levite in Ezra's time    6) a Levite under Hezekiah    7) a priest in Nehemiah's time</t>
  </si>
  <si>
    <t>Amariah</t>
  </si>
  <si>
    <t>(a)   Amariah; son of Meraioth; high-priest; tribe of Levi; (b)   Amariah; son of Azariah; high-priest; tribe of Levi; (c)   Amariah; descendant of Hebron; tribe of Levi; time of king David; (d)   Amariah; man; after exile; (e)   Amariah; son of Shephatiah; after exile; (f)   Amariah; son of Hezekiah; ancestor of prophet Zephaniah</t>
  </si>
  <si>
    <t>H0569 = אַמְרָפֶל</t>
  </si>
  <si>
    <t>Amraphel = "sayer of darkness: fall of the sayer"    1) the king of Shinar (Babylon) (perhaps Hammurabi c 2100 BC)</t>
  </si>
  <si>
    <t>Amraphel</t>
  </si>
  <si>
    <t>Amraphel; king of Shinar</t>
  </si>
  <si>
    <t>H0570 = אֶ֫מֶשׁ</t>
  </si>
  <si>
    <t>1) yesterday, last night    2) recently (fig.)</t>
  </si>
  <si>
    <t>last night</t>
  </si>
  <si>
    <t>H0571 = אֱמֶת</t>
  </si>
  <si>
    <t>1) firmness, faithfulness, truth    1a) sureness, reliability    1b) stability, continuance    1c) faithfulness, reliableness    1d) truth    1d1) as spoken    1d2) of testimony and judgment    1d3) of divine instruction    1d4) truth as a body of ethical or religious knowledge    1d5) true doctrine    adv    2) in truth, truly</t>
  </si>
  <si>
    <t>truth</t>
  </si>
  <si>
    <t>firmness, faithfulness, truth</t>
  </si>
  <si>
    <t>H0572 = אַמְתַּ֫חַת</t>
  </si>
  <si>
    <t>1) sack, flexible container (for grain)    2) (TWOT) spread out</t>
  </si>
  <si>
    <t>sack</t>
  </si>
  <si>
    <t>sack, bag</t>
  </si>
  <si>
    <t>H0573 = אֲמִתַּי</t>
  </si>
  <si>
    <t>Amittai = "my truth"    1) the father of Jonah the prophet</t>
  </si>
  <si>
    <t>Amittai</t>
  </si>
  <si>
    <t>Amittai; father of prophet Jonah</t>
  </si>
  <si>
    <t>H0574 = אֵימְתָן</t>
  </si>
  <si>
    <t>1) terrible</t>
  </si>
  <si>
    <t>H0575 = אָן</t>
  </si>
  <si>
    <t>1) where?, whither? (of place)    2) when?, until when?, how long? (of time)</t>
  </si>
  <si>
    <t>H0576a = אֲנָא</t>
  </si>
  <si>
    <t>1) I (first pers. sing. -usually used for emphasis)</t>
  </si>
  <si>
    <t>me</t>
  </si>
  <si>
    <t>me, myself</t>
  </si>
  <si>
    <t>H0576b = אֲנָה</t>
  </si>
  <si>
    <t>H0577 = אָֽנָּ֫א</t>
  </si>
  <si>
    <t>1) ah now! I/we beseech you, oh now!, pray now! (participle of entreaty usually followed by the imperative verb)</t>
  </si>
  <si>
    <t>Please!</t>
  </si>
  <si>
    <t>interjection   I pray!</t>
  </si>
  <si>
    <t>H0578 = אָנָה</t>
  </si>
  <si>
    <t>1) (Qal) to mourn</t>
  </si>
  <si>
    <t>to lament</t>
  </si>
  <si>
    <t>H0579 = אָנָה</t>
  </si>
  <si>
    <t>1) to meet, encounter, approach, be opportune    1a) (Piel) to allow to meet, cause to meet    1b) (Pual) to be sent, be allowed to meet    1c) (Hithpael) to seek occasion (quarrel), cause oneself to meet</t>
  </si>
  <si>
    <t>to meet</t>
  </si>
  <si>
    <t>(a) qal   to mourn; (b) pi.   to cause to come; (c) pu.   to befall; (d) hitp.   to seek a quarrel</t>
  </si>
  <si>
    <t>H0580 = אֲנוּ</t>
  </si>
  <si>
    <t>1) we (first pers. pl. -usually used for emphasis)</t>
  </si>
  <si>
    <t>we</t>
  </si>
  <si>
    <t>pronoun   personal pronoun 1 plural: we</t>
  </si>
  <si>
    <t>H0581a = אִנּוּן</t>
  </si>
  <si>
    <t>1) these, those, they</t>
  </si>
  <si>
    <t>they</t>
  </si>
  <si>
    <t>they, those</t>
  </si>
  <si>
    <t>H0581b = אִנִּין</t>
  </si>
  <si>
    <t>1) they</t>
  </si>
  <si>
    <t>they(fem.)</t>
  </si>
  <si>
    <t>H0582 = אֱנוֹשׁ</t>
  </si>
  <si>
    <t>1) man, mortal man, person, mankind    1a) of an individual    1b) men (collective)    1c) man, mankind</t>
  </si>
  <si>
    <t>human</t>
  </si>
  <si>
    <t>(1)   man(kind); (2)   Enosh; son of Seth</t>
  </si>
  <si>
    <t>H0583 = אֱנוֹשׁ</t>
  </si>
  <si>
    <t>Enos = "man"    1) son of Seth</t>
  </si>
  <si>
    <t>Enosh</t>
  </si>
  <si>
    <t>H0584 = אָנַח</t>
  </si>
  <si>
    <t>1) (Niphal) sigh, groan (in pain or grief), gasp    1a) moan (of cattle)</t>
  </si>
  <si>
    <t>to sigh</t>
  </si>
  <si>
    <t>nif.   to sigh</t>
  </si>
  <si>
    <t>H0585 = אֲנָחָה</t>
  </si>
  <si>
    <t>1) sighing, groaning (expression of grief or physical distress)</t>
  </si>
  <si>
    <t>sighing</t>
  </si>
  <si>
    <t>H0586 = אֲנַ֫חְנָא</t>
  </si>
  <si>
    <t>1) we (first pers. pl.)</t>
  </si>
  <si>
    <t>H0587 = אֲנַ֫חְנוּ</t>
  </si>
  <si>
    <t>H0588 = אֲנָֽחֲרָ֑ת</t>
  </si>
  <si>
    <t>Anaharath = "the groaning of fear"    1) (BDB) city in Naphtali    2) (CLBL) city in Issachar</t>
  </si>
  <si>
    <t>Anaharath</t>
  </si>
  <si>
    <t>Anaharath; town; territory of Issachar</t>
  </si>
  <si>
    <t>H0589 = אֲנִי, אָֽנֹכִ֫י</t>
  </si>
  <si>
    <t>I</t>
  </si>
  <si>
    <t>pronoun   personal pronoun 1 singular: I</t>
  </si>
  <si>
    <t>H0590 = אֳנִי</t>
  </si>
  <si>
    <t>1) fleet, ships</t>
  </si>
  <si>
    <t>fleet</t>
  </si>
  <si>
    <t>H0591 = אֳנִיָּה</t>
  </si>
  <si>
    <t>1) ship    1a) men of ships, seamen</t>
  </si>
  <si>
    <t>ship</t>
  </si>
  <si>
    <t>H0592 = אֲנִיָּה</t>
  </si>
  <si>
    <t>1) mourning, lamentation</t>
  </si>
  <si>
    <t>lamentation</t>
  </si>
  <si>
    <t>mourning, sorrow</t>
  </si>
  <si>
    <t>H0593 = אֲנִיעָם</t>
  </si>
  <si>
    <t>Aniam = "I am the people" or "lament of people"    1) a man of Manasseh</t>
  </si>
  <si>
    <t>Aniam</t>
  </si>
  <si>
    <t>Aniam; son of Shemida; tribe of Manasseh</t>
  </si>
  <si>
    <t>H0594 = אֲנָךְ</t>
  </si>
  <si>
    <t>1) plummet, plumb, lead-weight</t>
  </si>
  <si>
    <t>plumbline</t>
  </si>
  <si>
    <t>plummet</t>
  </si>
  <si>
    <t>H0595 = אָֽנֹכִ֫י</t>
  </si>
  <si>
    <t>1) I (first pers. sing.)</t>
  </si>
  <si>
    <t>H0596 = אָנַן</t>
  </si>
  <si>
    <t>1) (Hithpael) complain, murmur</t>
  </si>
  <si>
    <t>to complain</t>
  </si>
  <si>
    <t>hitp.   to complain</t>
  </si>
  <si>
    <t>H0597 = אָנַס</t>
  </si>
  <si>
    <t>1) (Qal) to compel, to constrain</t>
  </si>
  <si>
    <t>to compel</t>
  </si>
  <si>
    <t>qal   to compel</t>
  </si>
  <si>
    <t>H0598 = אֲנַס</t>
  </si>
  <si>
    <t>1) (P'al) to oppress, compel, constrain</t>
  </si>
  <si>
    <t>to constrain</t>
  </si>
  <si>
    <t>H0599 = אָנַף</t>
  </si>
  <si>
    <t>1) to be angry, to be displeased, to breathe hard    1a) (Qal) to be angry (of God)    1b) (Hithpael) to be angry (always of God)</t>
  </si>
  <si>
    <t>be angry</t>
  </si>
  <si>
    <t>(a) qal   to be angry; (b) hitp.   to be angry</t>
  </si>
  <si>
    <t>H0600 = אֲנַף</t>
  </si>
  <si>
    <t>1) face, nose</t>
  </si>
  <si>
    <t>face</t>
  </si>
  <si>
    <t>H0601 = אֲנָפָה</t>
  </si>
  <si>
    <t>1) an unclean bird    1a) perhaps an heron</t>
  </si>
  <si>
    <t>heron</t>
  </si>
  <si>
    <t>heron, cormorant</t>
  </si>
  <si>
    <t>H0602 = אָנַק</t>
  </si>
  <si>
    <t>1) to cry, groan    1a) (Qal) to cry, lament    1b) (Niphal) to make lamentation</t>
  </si>
  <si>
    <t>to groan</t>
  </si>
  <si>
    <t>(a) qal   to groan; (b) nif.   to groan</t>
  </si>
  <si>
    <t>H0603 = אֲנָקָה</t>
  </si>
  <si>
    <t>1) crying, groaning, lamentation</t>
  </si>
  <si>
    <t>groaning</t>
  </si>
  <si>
    <t>(b)   groaning</t>
  </si>
  <si>
    <t>H0604 = אֲנָקָה</t>
  </si>
  <si>
    <t>1) an unclean animal, ferret, shrewmouse, gecko    1a) perhaps an extinct animal, exact meaning unknown</t>
  </si>
  <si>
    <t>gecko</t>
  </si>
  <si>
    <t>(a)   gecko</t>
  </si>
  <si>
    <t>H0605 = אָנַשׁ</t>
  </si>
  <si>
    <t>1) to be weak, sick, frail    1a) (Qal)    1a1) to be incurable    1a2) to be sick    1a3) desperate, incurable, desperately wicked, woeful, very sick (pass participle) (metaph.)    1b) (Niphal) to be sick</t>
  </si>
  <si>
    <t>be incurable</t>
  </si>
  <si>
    <t>H0606 = אֱנָשׁ</t>
  </si>
  <si>
    <t>1) man, human being    2) mankind (collective)</t>
  </si>
  <si>
    <t>nif.   to become sick</t>
  </si>
  <si>
    <t>H0607 = אַנְתָּה</t>
  </si>
  <si>
    <t>1) you, thou (second pers. sing.)</t>
  </si>
  <si>
    <t>you</t>
  </si>
  <si>
    <t>H0608 = אַנְתּוּן</t>
  </si>
  <si>
    <t>1) you, thou (second pers. pl.)</t>
  </si>
  <si>
    <t>H0609 = אָסָא</t>
  </si>
  <si>
    <t>Asa = "healer: injurious (?)"    1) king of Judah, son of Abijam, father of Jehoshaphat    2) a Levite</t>
  </si>
  <si>
    <t>Asa</t>
  </si>
  <si>
    <t>(a)   Asa; son of Abijah; king of Judah (911/10-870/69); (b)   Asa; father of Berechiah; Levite; after exile</t>
  </si>
  <si>
    <t>H0610 = אָסוּךְ</t>
  </si>
  <si>
    <t>1) flask, small oil jug</t>
  </si>
  <si>
    <t>flask</t>
  </si>
  <si>
    <t>small oil-jar</t>
  </si>
  <si>
    <t>H0611 = אָסוֹן</t>
  </si>
  <si>
    <t>1) evil, mischief, harm, hurt</t>
  </si>
  <si>
    <t>harm</t>
  </si>
  <si>
    <t>accident, mischief</t>
  </si>
  <si>
    <t>H0612 = אֵסוּר</t>
  </si>
  <si>
    <t>1) band, bond    2) house of bonds, prison (figurative)</t>
  </si>
  <si>
    <t>bond</t>
  </si>
  <si>
    <t>fetter</t>
  </si>
  <si>
    <t>H0613 = אֱסוּר</t>
  </si>
  <si>
    <t>1) band, bond, imprisonment</t>
  </si>
  <si>
    <t>H0614 = אָסִיף</t>
  </si>
  <si>
    <t>1) ingathering, harvest</t>
  </si>
  <si>
    <t>ingathering</t>
  </si>
  <si>
    <t>harvesting</t>
  </si>
  <si>
    <t>H0615 = אָסִיר</t>
  </si>
  <si>
    <t>1) prisoner, captive, bondman</t>
  </si>
  <si>
    <t>prisoner</t>
  </si>
  <si>
    <t>H0616 = אַסִּיר</t>
  </si>
  <si>
    <t>1) prisoners (collective)    2) (CLBL) prisoner, captive</t>
  </si>
  <si>
    <t>H0617 = אַסִּיר</t>
  </si>
  <si>
    <t>Assir = "prisoner"    1) a son of Korah    2) a son of Ebiasaph    3) a son of Jeconiah</t>
  </si>
  <si>
    <t>Assir</t>
  </si>
  <si>
    <t>Assir; son of Korah; descendant of Kohath; tribe of Levi; (2b)   Assir; son of Jeconiah; (2c)   Assir; son of Ebiasaph; descendant of Kohath; ancestor of Heman; tribe of Levi</t>
  </si>
  <si>
    <t>H0618 = אָסָם</t>
  </si>
  <si>
    <t>1) storehouse, barn</t>
  </si>
  <si>
    <t>storehouse</t>
  </si>
  <si>
    <t>H0619 = אַסְנָה</t>
  </si>
  <si>
    <t>Asnah = "I shall be hated: she has stored up"    1) a temple-slave who returned from exile</t>
  </si>
  <si>
    <t>Asnah</t>
  </si>
  <si>
    <t>Asnah; family head; temple servants; after exile</t>
  </si>
  <si>
    <t>H0620 = אָֽסְנַפַּר</t>
  </si>
  <si>
    <t>Asnappar or Osnappar = "horned bull: thorn abolished"    1) an Assyrian king who transported other peoples into Samaria - probably the king, Ashurbanipal</t>
  </si>
  <si>
    <t>Osnappar</t>
  </si>
  <si>
    <t>Osnappar; king of Assyria; = Ashurbanipal</t>
  </si>
  <si>
    <t>H0621 = אָֽסְנַת</t>
  </si>
  <si>
    <t>Asenath = "belonging to the goddess Neith"    1) the wife of Joseph</t>
  </si>
  <si>
    <t>Asenath</t>
  </si>
  <si>
    <t>Asenath; daughter of Potiphera; wife of Joseph</t>
  </si>
  <si>
    <t>H0622 = אָסַף</t>
  </si>
  <si>
    <t>1) to gather, receive, remove, gather in    1a) (Qal)    1a1) to gather, collect    1a2) to gather (an individual into company of others)    1a3) to bring up the rear    1a4) to gather and take away, remove, withdraw    1b) (Niphal)    1b1) to assemble, be gathered    1b2) (pass of Qal 1a2)    1b2a) to be gathered to one's fathers    1b2b) to be brought in or into (association with others)    1b3) (pass of Qal 1a4)    1b3a) to be taken away, removed, perish    1c) (Piel)    1c1) to gather (harvest)    1c2) to take in, receive into    1c3) rearguard, rearward (subst)    1d) (Pual) to be gathered    1e) (Hithpael) to gather oneself or themselves</t>
  </si>
  <si>
    <t>(a) qal   to form the rear-guard; (b) qal   to collect, take in, take away; (c) nif.   to meet, gather, be gathered, be taken away; (d) pi.   to collect, take in; (e) pi.   to form the rear-guard; (f) pu.   to be gathered; (g) hitp.   to gather</t>
  </si>
  <si>
    <t>H0623 = אָסָף</t>
  </si>
  <si>
    <t>Asaph = "gatherer"    1) the father of Hezekiah's secretary    2) a son of Berechiah, chief Levite musician under David    3) a Persian officer over the royal forest</t>
  </si>
  <si>
    <t>Asaph</t>
  </si>
  <si>
    <t>(a)   Asaph; son of Joel; temple singer; time of king David; (b)   Asaph; father of Joah, recorder; time of king Hezekiah; (c)   Asaph; forest guard; after exile</t>
  </si>
  <si>
    <t>H0624 = אָסֹף</t>
  </si>
  <si>
    <t>1) what is gathered, store, storing, storehouse    2) (CLBL) threshold (metonomy)</t>
  </si>
  <si>
    <t>H0625 = אֹ֫סֵף</t>
  </si>
  <si>
    <t>1) gathering, collection, harvest</t>
  </si>
  <si>
    <t>gathering</t>
  </si>
  <si>
    <t>ingathering \store</t>
  </si>
  <si>
    <t>H0626 = אֲסֵפָה</t>
  </si>
  <si>
    <t>1) a collecting, gathering</t>
  </si>
  <si>
    <t>collecting</t>
  </si>
  <si>
    <t>collection</t>
  </si>
  <si>
    <t>H0627 = אֲסֻפָּה</t>
  </si>
  <si>
    <t>1) collection</t>
  </si>
  <si>
    <t>H0628 = אֲסַפְסֻף</t>
  </si>
  <si>
    <t>1) collection, rabble, collected multitude</t>
  </si>
  <si>
    <t>rabble</t>
  </si>
  <si>
    <t>riff-raff</t>
  </si>
  <si>
    <t>H0629 = אׇסְפַּרְנָא</t>
  </si>
  <si>
    <t>1) thoroughly    2) (CLBL) eagerly, diligently</t>
  </si>
  <si>
    <t>H0630 = אַסְפָּ֑תָא</t>
  </si>
  <si>
    <t>Aspatha = "the enticed gathered"    1) the third son of Haman</t>
  </si>
  <si>
    <t>Aspatha</t>
  </si>
  <si>
    <t>Aspatha; son of Haman</t>
  </si>
  <si>
    <t>H0631 = אָסַר</t>
  </si>
  <si>
    <t>1) to tie, bind, imprison    1a) (Qal)    1a1) to tie, bind    1a2) to tie, harness    1a3) to bind (with cords)    1a4) to gird (rare and late)    1a5) to begin the battle, make the attack    1a6) of obligation of oath (figurative)    1b) (Niphal) to be imprisoned, bound    1c) (Pual) to be taken prisoner</t>
  </si>
  <si>
    <t>to bind</t>
  </si>
  <si>
    <t>imprisonment</t>
  </si>
  <si>
    <t>H0632 = אִסָּר</t>
  </si>
  <si>
    <t>1) bond, binding obligation, obligation</t>
  </si>
  <si>
    <t>injunction</t>
  </si>
  <si>
    <t>vow of abstinence</t>
  </si>
  <si>
    <t>H0633 = אֱסָר</t>
  </si>
  <si>
    <t>1) interdict, decree, decree of restriction</t>
  </si>
  <si>
    <t>(a) qal   to bind; (b) qal   to bind oneself with a vow; (c) nif.   to be bound; (d) pu.   to be bound</t>
  </si>
  <si>
    <t>H0634 = אֵסַר־חַדּוֹן</t>
  </si>
  <si>
    <t>Esarhaddon = "Ashur has given a brother"    1) king of Assyria in the seventh-century BC</t>
  </si>
  <si>
    <t>Esar-haddon</t>
  </si>
  <si>
    <t>Esarhaddon; son of Sennacherib; king of Assyria</t>
  </si>
  <si>
    <t>H0635 = אֶסְתֵּר</t>
  </si>
  <si>
    <t>Esther = "star"    1) the queen of Persia, heroine of the book of Esther-daughter of Abihail, cousin and adopted daughter of Mordecai, of the tribe of Benjamin, made queen by king Ahasuerus to replace divorced queen, Vashti.</t>
  </si>
  <si>
    <t>Esther</t>
  </si>
  <si>
    <t>Esther; woman; queen of Persia</t>
  </si>
  <si>
    <t>H0636 = אָע</t>
  </si>
  <si>
    <t>1) wood, beam, timber</t>
  </si>
  <si>
    <t>wood</t>
  </si>
  <si>
    <t>H0637 = אַף</t>
  </si>
  <si>
    <t>conj (denoting addition, esp of something greater)    1) also, yea, though, so much the more    adv    2) furthermore, indeed</t>
  </si>
  <si>
    <t>also</t>
  </si>
  <si>
    <t>H0638 = אַף</t>
  </si>
  <si>
    <t>1) also, yea</t>
  </si>
  <si>
    <t>H0639 = אַף</t>
  </si>
  <si>
    <t>1) nostril, nose, face    2) anger</t>
  </si>
  <si>
    <t>anger</t>
  </si>
  <si>
    <t>(a)   also, more, ever, even; (b)   nose, face, breathing, anger</t>
  </si>
  <si>
    <t>H0640 = אָפַד</t>
  </si>
  <si>
    <t>1) (Qal) bind, gird    1a) to gird on (ephod)    1b) (TWOT) ephod</t>
  </si>
  <si>
    <t>qal   to gird on, put on \cover</t>
  </si>
  <si>
    <t>H0641 = אֵפֹד</t>
  </si>
  <si>
    <t>Ephod = "a (special) girdle"    1) the father of a chief of Manasseh</t>
  </si>
  <si>
    <t>Ephod</t>
  </si>
  <si>
    <t>Ephod; father of Hanniel; tribe of Manasseh</t>
  </si>
  <si>
    <t>H0642 = אֲפֻדָּה</t>
  </si>
  <si>
    <t>1) ephod    1a) priestly garment, shoulder-cape or mantle, outer garment    1a1) worn by an ordinary priest and made of white stuff    1a2) worn by the high priest-more costly, woven of gold, blue, purple, scarlet, and linen threads provided with shoulder-pieces and a breast piece of like material, ornamented with gems and gold    1b) a metallic covering for idols, a plating over</t>
  </si>
  <si>
    <t>ephod</t>
  </si>
  <si>
    <t>H0643 = אַפֶּ֫דֶן</t>
  </si>
  <si>
    <t>1) palace</t>
  </si>
  <si>
    <t>palace</t>
  </si>
  <si>
    <t>H0644 = אָפָה</t>
  </si>
  <si>
    <t>1) to bake    1a) (Qal)    1a1) to bake    1a2) (subst) baker    1b) (Niphal) to be baked, baked</t>
  </si>
  <si>
    <t>to bake</t>
  </si>
  <si>
    <t>(a) qal   to bake; (b) qal   active participle: baker; (c) nif.   to be baked</t>
  </si>
  <si>
    <t>H0645 = אֵפוֹ</t>
  </si>
  <si>
    <t>1) then, now, so    1a) (who) then, (what) then (with interrog)    1b) then (with imperative-i.e. know then)    1c) if...then (with adv)</t>
  </si>
  <si>
    <t>now, then</t>
  </si>
  <si>
    <t>H0646 = אֵפוֹד</t>
  </si>
  <si>
    <t>1) ephod    1a) priestly garment, shoulder-cape or mantle, outer garment    1a1) worn by an ordinary priest and made of white stuff    1a2) worn by the high priest-more costly, woven of gold, blue, purple, scarlet, and linen threads provided with shoulder-pieces and a breast piece of like material, ornamented with gems and gold</t>
  </si>
  <si>
    <t>(a)   linen garment; reaching from the shoulders to the waist; mainly used by priests; (b)   unknown object of worship</t>
  </si>
  <si>
    <t>H0647 = אֲפִיחַ</t>
  </si>
  <si>
    <t>Aphiah = "I will make to breathe"    1) an ancestor of Saul</t>
  </si>
  <si>
    <t>Aphiah</t>
  </si>
  <si>
    <t>Aphiah; man; tribe of Benjamin</t>
  </si>
  <si>
    <t>H0648 = אָפִיל</t>
  </si>
  <si>
    <t>1) late, ripe</t>
  </si>
  <si>
    <t>late</t>
  </si>
  <si>
    <t>H0649 = אַפַּיִם</t>
  </si>
  <si>
    <t>Appaim = "nostrils"    1) a son of Nadab</t>
  </si>
  <si>
    <t>Appaim</t>
  </si>
  <si>
    <t>Appaim; descendant of Jerahmeel; tribe of Judah</t>
  </si>
  <si>
    <t>H0650 = אָפִיק</t>
  </si>
  <si>
    <t>1) channel    2) ravine    3) of hollow bones (fig.)</t>
  </si>
  <si>
    <t>channel</t>
  </si>
  <si>
    <t>(a)   strong, mighty person; (b)   tube; (c)   row (of shields); (d)   water-course, river bed</t>
  </si>
  <si>
    <t>H0651 = אָפֵל</t>
  </si>
  <si>
    <t>1) gloomy, dark</t>
  </si>
  <si>
    <t>gloom</t>
  </si>
  <si>
    <t>dark \darkness</t>
  </si>
  <si>
    <t>H0652 = אֹ֫פֶל</t>
  </si>
  <si>
    <t>1) darkness, gloom    2) spiritual unreceptivity, calamity (fig.)</t>
  </si>
  <si>
    <t>darkness</t>
  </si>
  <si>
    <t>H0653 = אֲפֵלָה</t>
  </si>
  <si>
    <t>1) darkness, gloominess, calamity    2) wickedness (fig.)</t>
  </si>
  <si>
    <t>H0654 = אֶפְלָל</t>
  </si>
  <si>
    <t>Ephlal = "intercessor"    1) a descendant of Pharez</t>
  </si>
  <si>
    <t>Ephlal</t>
  </si>
  <si>
    <t>Ephlal; descendant of Jerahmeel; tribe of Judah</t>
  </si>
  <si>
    <t>H0655 = אֹ֫פֶן</t>
  </si>
  <si>
    <t>1) circumstance, condition, timely</t>
  </si>
  <si>
    <t>(right) time</t>
  </si>
  <si>
    <t>season?</t>
  </si>
  <si>
    <t>H0656 = אָפֵס</t>
  </si>
  <si>
    <t>1) (Qal) to cease, break, come to an end</t>
  </si>
  <si>
    <t>to end</t>
  </si>
  <si>
    <t>end, naught; not, nothing, only \qal   to cease</t>
  </si>
  <si>
    <t>H0657a = אֶ֫פֶס</t>
  </si>
  <si>
    <t>1) ceasing, end, finality    2) expressing non-existence</t>
  </si>
  <si>
    <t>H0657b = אֹ֫פֶס</t>
  </si>
  <si>
    <t>1) the two extremities, i.e. either the soles of the feet or the ankles</t>
  </si>
  <si>
    <t>soles</t>
  </si>
  <si>
    <t>ankles</t>
  </si>
  <si>
    <t>H0658 = אֶ֫פֶס דַּמִּים</t>
  </si>
  <si>
    <t>Ephes Dammim = "edge of blood"    1) a place approx 16 miles (25 km) southwest of Jerusalem</t>
  </si>
  <si>
    <t>Ephes-dammim</t>
  </si>
  <si>
    <t>Ephes-Dammim; location; territory of Judah</t>
  </si>
  <si>
    <t>H0659 = אֶ֫פַע</t>
  </si>
  <si>
    <t>1) worthless, of nought</t>
  </si>
  <si>
    <t>H0660 = אֶפְעֶה</t>
  </si>
  <si>
    <t>1) a viper, snake</t>
  </si>
  <si>
    <t>viper</t>
  </si>
  <si>
    <t>carpet viper</t>
  </si>
  <si>
    <t>H0661 = אָפַף</t>
  </si>
  <si>
    <t>1) to surround, encompass    1a) (Qal) to encompass</t>
  </si>
  <si>
    <t>to surround</t>
  </si>
  <si>
    <t>qal   to surround</t>
  </si>
  <si>
    <t>H0662 = אָפַק</t>
  </si>
  <si>
    <t>1) to hold, be strong, restrain, hold back    1a) (Hithpael)    1a1) to restrain oneself, refrain    1a2) to force, compel oneself</t>
  </si>
  <si>
    <t>to refrain</t>
  </si>
  <si>
    <t>hitp.   to restrain oneself</t>
  </si>
  <si>
    <t>H0663 = אֲפֵק</t>
  </si>
  <si>
    <t>Aphek or Aphik = "enclosure"    1) a Canaanite city near Jezreel    2) a city in territory of Asher    3) a city northeast of Beirut in Transjordan</t>
  </si>
  <si>
    <t>Aphek</t>
  </si>
  <si>
    <t>(a)   Aphek; town; Sharon; west of Shilo; (b)   Aphek; town; Syria; (c) אֲפִיק   Aphek; town; territory of Asher; (d)   Aphek; town; Golan</t>
  </si>
  <si>
    <t>H0664 = אֲפֵקָה</t>
  </si>
  <si>
    <t>Aphekah = "enclosure"    1) a city near Hebron in Judah    2) (BDB) possibly a group of cities including Hebron</t>
  </si>
  <si>
    <t>Aphekah</t>
  </si>
  <si>
    <t>Aphekah; town; territory of Judah</t>
  </si>
  <si>
    <t>H0665 = אֵ֫פֶר</t>
  </si>
  <si>
    <t>1) ashes    2) (CLBL) worthlessness (fig.)</t>
  </si>
  <si>
    <t>ashes</t>
  </si>
  <si>
    <t>dust \band</t>
  </si>
  <si>
    <t>H0666 = אֲפֵר</t>
  </si>
  <si>
    <t>1) covering, bandage</t>
  </si>
  <si>
    <t>bandage</t>
  </si>
  <si>
    <t>H0667 = אֶפְרֹחַ</t>
  </si>
  <si>
    <t>1) young, young one (of birds)    2) young birds</t>
  </si>
  <si>
    <t>young</t>
  </si>
  <si>
    <t>young of birds</t>
  </si>
  <si>
    <t>H0668 = אַפִּרְיוֹן</t>
  </si>
  <si>
    <t>1) sedan, litter, palanquin    2) (CLBL) chariot</t>
  </si>
  <si>
    <t>carriage</t>
  </si>
  <si>
    <t>litter</t>
  </si>
  <si>
    <t>H0669 = אֶפְרַ֫יִם</t>
  </si>
  <si>
    <t>Ephraim = "double ash-heap: I shall be doubly fruitful"    1) second son of Joseph, blessed by him and given preference over first son, Manasseh    2) the tribe, Ephraim    3) the mountain country of Ephraim    4) sometimes used name for the northern kingdom (Hosea or Isaiah)    5) a city near Baal-hazor    6) a chief gate of Jerusalem</t>
  </si>
  <si>
    <t>Ephraim</t>
  </si>
  <si>
    <t>Ephraim; son of Joseph; founder of tribe of Israel</t>
  </si>
  <si>
    <t>H0670 = אֲפָֽרְסָיֵא</t>
  </si>
  <si>
    <t>Apharsite = "causers of division (?)"    1) (CLBL) an unknown office    2) (BDB) secretaries    3) (TWOT) perhaps a title of an official</t>
  </si>
  <si>
    <t>Apharsite</t>
  </si>
  <si>
    <t>title of official</t>
  </si>
  <si>
    <t>H0671a = אֲפָֽרְסְכָיֵא</t>
  </si>
  <si>
    <t>Apharsachites = "as causers of division (?)" Apharsathchites = "I will divide the deceivers (?)"    1) (CLBL) an unknown office    2) (BDB) perhaps an office or an official    3) (TWOT)    3a) a people    3b) perhaps a title of an official</t>
  </si>
  <si>
    <t>Apharsachite</t>
  </si>
  <si>
    <t>H0671b = אֲפָֽרְסַתְּכָיֵא</t>
  </si>
  <si>
    <t>Apharasthchite</t>
  </si>
  <si>
    <t>H0672 = אֶפְרָ֫תָה</t>
  </si>
  <si>
    <t>Ephrath or Ephratah = "ash-heap: place of fruitfulness"    n pr loc    1) a place near Bethel where Rachel died and was buried    2) another name for Bethlehem    n pr f    3) wife of Caleb</t>
  </si>
  <si>
    <t>Ephrathah</t>
  </si>
  <si>
    <t>(a) בֵּית לֶחֶם   Ephrath, Ephrathah; town; territory of Judah; (b)   Ephrath, Ephrathah; wife of Caleb</t>
  </si>
  <si>
    <t>H0673 = אֶפְרָתִי</t>
  </si>
  <si>
    <t>Ephrathite = "ashiness: fruitfulness"    1) an inhabitant or descendant of Ephraim (in in &lt;ref="Jdg.12.5"&gt;Jdg.12.5;&lt;/ref&gt; &lt;ref="1Ki.11.26"&gt;1Ki.11.26&lt;/ref&gt;)     2) an inhabitant of Bethlehem (in &lt;ref="Rut.1.1"&gt;Rut.1.1;&lt;/ref&gt; &lt;ref="1Sa.1.1"&gt;1Sa.1.1;&lt;/ref&gt; &lt;ref="1Sa.17.12"&gt;1Sa.17.12&lt;/ref&gt;)</t>
  </si>
  <si>
    <t>Ephrathite</t>
  </si>
  <si>
    <t>(a)   Ephrathite, Ephraimite; inhabitant of Ephrath; (b)   Ephrathite, Ephraimite; member of tribe of Ephraim</t>
  </si>
  <si>
    <t>H0674 = אַפְּתֹם</t>
  </si>
  <si>
    <t>1) treasury, treasuries    2) (CLBL) revenue</t>
  </si>
  <si>
    <t>revenue</t>
  </si>
  <si>
    <t>H0675 = אֶצְבּוֹן</t>
  </si>
  <si>
    <t>Ezbon = "hasting to discern: I will be enlargement"    1) a son of Gad    2) grandson of Benjamin</t>
  </si>
  <si>
    <t>Ezbon</t>
  </si>
  <si>
    <t>(a)   Ezbon; son of Gad; (b)   Ezbon; son of Bela; tribe of Benjamin</t>
  </si>
  <si>
    <t>H0676 = אֶצְבַּע</t>
  </si>
  <si>
    <t>1) finger, toe</t>
  </si>
  <si>
    <t>finger</t>
  </si>
  <si>
    <t>(a)   finger; (b)   finger; linear measure of 1.85 cm</t>
  </si>
  <si>
    <t>H0677 = אֶצְבַּע</t>
  </si>
  <si>
    <t>digit</t>
  </si>
  <si>
    <t>H0678 = אָצִיל</t>
  </si>
  <si>
    <t>1) side, corner, chief    2) (CLBL) nobles (fig.)</t>
  </si>
  <si>
    <t>(a)   remote part; (b)   distinguished, noble</t>
  </si>
  <si>
    <t>H0679 = אַצִּיל</t>
  </si>
  <si>
    <t>1) joining, joint (such as elbow etc)</t>
  </si>
  <si>
    <t>joint</t>
  </si>
  <si>
    <t>(a)   ?; (b)   joint (of the hand): wrist</t>
  </si>
  <si>
    <t>H0680 = אָצַל</t>
  </si>
  <si>
    <t>1) to lay aside, reserve, withdraw, withhold    1a) (Qal) to reserve, set apart, withhold    1b) (Niphal) to be withdrawn    1c) (Hiphil) to withdraw</t>
  </si>
  <si>
    <t>to reserve</t>
  </si>
  <si>
    <t>(a) qal   to hold back; (b) nif.   to be reduced</t>
  </si>
  <si>
    <t>H0681 = אֵ֫צֶל</t>
  </si>
  <si>
    <t>1) beside, by, near, nearness, joining, proximity    subst    2) (BDB)    2a) conjunction, proximity    2b) beside, in proximity, contiguous to, from beside</t>
  </si>
  <si>
    <t>beside</t>
  </si>
  <si>
    <t>by, near</t>
  </si>
  <si>
    <t>H0682a = אָצֵל</t>
  </si>
  <si>
    <t>Azel = "reserved"    n pr m (CLBL)    1) a Benjamite descendant of Saul and Jonathan</t>
  </si>
  <si>
    <t>Azel</t>
  </si>
  <si>
    <t>(a)   Azel; son of Eleasah; tribe of Benjamin</t>
  </si>
  <si>
    <t>H0682b = אָצֵל</t>
  </si>
  <si>
    <t>Azal = "proximity: he has reserved"    n pr loc    1) a place near Jerusalem, site presently unknown</t>
  </si>
  <si>
    <t>Azal</t>
  </si>
  <si>
    <t>(b)   Azel; location</t>
  </si>
  <si>
    <t>H0683 = אֲצַלְיָ֫הוּ</t>
  </si>
  <si>
    <t>Azaliah = "Jehovah (Yahweh) has reserved (set apart)"    1) the father of Shaphan the scribe</t>
  </si>
  <si>
    <t>Azaliah</t>
  </si>
  <si>
    <t>Azaliah; son of Meshullam; father of Shaphan, secretary, time of king Josiah</t>
  </si>
  <si>
    <t>H0684 = אֹ֫צֶם</t>
  </si>
  <si>
    <t>Ozem = "I shall hasten them"    1) older brother of David    2) a descendant of Judah</t>
  </si>
  <si>
    <t>Ozem</t>
  </si>
  <si>
    <t>(a)   Ozem; son of Jesse; brother of David; tribe of Judah; (b)   Ozem; son of Jerahmeel; tribe of Judah</t>
  </si>
  <si>
    <t>H0685 = אֶצְעָדָה</t>
  </si>
  <si>
    <t>1) armlet, bracelet, ankle chain</t>
  </si>
  <si>
    <t>armlet</t>
  </si>
  <si>
    <t>bracelet</t>
  </si>
  <si>
    <t>H0686 = אָצַר</t>
  </si>
  <si>
    <t>1) to store up, save, lay up    1a) (Qal) to store up, make treasurer    1b) (Niphal) treasured</t>
  </si>
  <si>
    <t>to store</t>
  </si>
  <si>
    <t>(a) qal   to store up; (b) nif.   to be stored up; (c) hif.   to appoint as treasurer</t>
  </si>
  <si>
    <t>H0687 = אֵ֫צֶר</t>
  </si>
  <si>
    <t>Ezer = "treasure"    1) a chief of the Horites</t>
  </si>
  <si>
    <t>Ezer</t>
  </si>
  <si>
    <t>Ezer; son of Seir</t>
  </si>
  <si>
    <t>H0688 = אֶקְדָּח</t>
  </si>
  <si>
    <t>1) fiery glow, sparkle    2) (CLBL) the name of a gem-carbuncle</t>
  </si>
  <si>
    <t>carbuncle</t>
  </si>
  <si>
    <t>precious stone; KB beryl; RSV carbuncles; NEB garnet (firestone); JB crystal;</t>
  </si>
  <si>
    <t>H0689 = אַקּוֹ</t>
  </si>
  <si>
    <t>1) wild goat</t>
  </si>
  <si>
    <t>wild goat</t>
  </si>
  <si>
    <t>ibex, wild goat</t>
  </si>
  <si>
    <t>H0690 = אֲרָא</t>
  </si>
  <si>
    <t>Ara = "lion"    1) a descendant of Asher</t>
  </si>
  <si>
    <t>Ara</t>
  </si>
  <si>
    <t>Ara; son of Jether; tribe of Asher</t>
  </si>
  <si>
    <t>H0691 = אֶרְאֵל</t>
  </si>
  <si>
    <t>1) (CLBL) hero, valiant one    2) (BDB) form and meaning dubious    3) (TWOT) Ariel or hearth</t>
  </si>
  <si>
    <t>mighty man</t>
  </si>
  <si>
    <t>H0692 = אַרְאֵלִי</t>
  </si>
  <si>
    <t>Areli = "lion of God"    1) a son of Gad    2) those of the family of Areli (pater adj-Arelites)</t>
  </si>
  <si>
    <t>Areli</t>
  </si>
  <si>
    <t>(a)   Areli(te); son of Gad; (b)   Areli(te); descendant of Areli, son of Gad</t>
  </si>
  <si>
    <t>H0693 = אָרַב</t>
  </si>
  <si>
    <t>1) to lie in wait, ambush, lurk    1a) (Qal)    1a1) to lie in wait    1a2) ambush (participle as subst)    1b) (Piel) ambushers, liers-in-wait (pl. participle)    1c) (Hiphil) to lay an ambush</t>
  </si>
  <si>
    <t>to ambush</t>
  </si>
  <si>
    <t>(a) qal   to lie in wait; (b) qal   active participle: lying-in-wait, ambush; (c) pi.   to lie in wait; (d) hif.   to lay an ambush</t>
  </si>
  <si>
    <t>H0694 = אֲרָב</t>
  </si>
  <si>
    <t>Arab = "ambush"    1) a city near Hebron</t>
  </si>
  <si>
    <t>Arab</t>
  </si>
  <si>
    <t>Arab; town; territory of Judah</t>
  </si>
  <si>
    <t>H0695 = אֶ֫רֶב</t>
  </si>
  <si>
    <t>1) a lying-in-wait    2) covert, lair, den</t>
  </si>
  <si>
    <t>ambush</t>
  </si>
  <si>
    <t>lying-in-wait</t>
  </si>
  <si>
    <t>H0696 = אֹ֫רֶב</t>
  </si>
  <si>
    <t>1) ambuscade, hiding place    2) treachery, deceit (fig.)</t>
  </si>
  <si>
    <t>H0697 = אַרְבֶּה</t>
  </si>
  <si>
    <t>1) a kind of locust, locust swarm (coll)    2) (CLBL)    2a) sudden disappearance (fig.)    2b) insignificance (fig.)    2c) activity (fig.)</t>
  </si>
  <si>
    <t>locust</t>
  </si>
  <si>
    <t>H0698 = אָרְבָּה</t>
  </si>
  <si>
    <t>1) artifice, deceit, trick</t>
  </si>
  <si>
    <t>skill</t>
  </si>
  <si>
    <t>fraud? plot?</t>
  </si>
  <si>
    <t>H0699 = אֲרֻבָּה</t>
  </si>
  <si>
    <t>1) lattice, window, sluice    2) (CLBL) chimney (lattice opening where smoke escapes)</t>
  </si>
  <si>
    <t>window</t>
  </si>
  <si>
    <t>opening, window</t>
  </si>
  <si>
    <t>H0700 = אֲרֻבּוֹת</t>
  </si>
  <si>
    <t>Aruboth = "windows"    1) a district marked by Solomon for tax purposes</t>
  </si>
  <si>
    <t>Arubboth</t>
  </si>
  <si>
    <t>Arubboth; location; Sharon</t>
  </si>
  <si>
    <t>H0701 = אַרְבִּי</t>
  </si>
  <si>
    <t>Arbite = "an ambush"    1) a native of Arabia</t>
  </si>
  <si>
    <t>Arbite</t>
  </si>
  <si>
    <t>Arbite; inhabitant of Arab</t>
  </si>
  <si>
    <t>H0702 = אַרְבַּע</t>
  </si>
  <si>
    <t>1) four</t>
  </si>
  <si>
    <t>four</t>
  </si>
  <si>
    <t>(1a) numeral singular   four</t>
  </si>
  <si>
    <t>H0703 = אַרְבַּע</t>
  </si>
  <si>
    <t>H0704 = אַרְבַּע</t>
  </si>
  <si>
    <t>Arba = "fourth"    1) the father of Anak and the greatest of the giants (Anakim)    2) see H07153 if translated "city of Arba"</t>
  </si>
  <si>
    <t>Arba</t>
  </si>
  <si>
    <t>(2)   Arba; father of Anak, ancestor of race of giants</t>
  </si>
  <si>
    <t>H0705 = אַרְבָּעִים</t>
  </si>
  <si>
    <t>1) forty</t>
  </si>
  <si>
    <t>forty</t>
  </si>
  <si>
    <t>(1b) numeral plural   forty</t>
  </si>
  <si>
    <t>H0706 = אַרְבַּעְתַּיִם</t>
  </si>
  <si>
    <t>1) fourfold</t>
  </si>
  <si>
    <t>fourfold</t>
  </si>
  <si>
    <t>H0707 = אָרַג</t>
  </si>
  <si>
    <t>1) to weave    1a) (Qal)    1a1) to weave (cloth)    1a2) to braid (Samson's hair)    1a3) weaver (subst.)    1a4) intrigue (fig.)</t>
  </si>
  <si>
    <t>to weave</t>
  </si>
  <si>
    <t>qal   to weave</t>
  </si>
  <si>
    <t>H0708 = אֶ֫רֶג</t>
  </si>
  <si>
    <t>1) loom, shuttle</t>
  </si>
  <si>
    <t>shuttle</t>
  </si>
  <si>
    <t>weaver's shuttle</t>
  </si>
  <si>
    <t>H0709 = אַרְגֹּב</t>
  </si>
  <si>
    <t>Argob = "heap of clods"    n pr loc    1) a district or area in Bashan    n pr m    2) one of king Pekah's officers</t>
  </si>
  <si>
    <t>Argob</t>
  </si>
  <si>
    <t>(a)   Argob; region; Bashan; (b)   Argob; man?</t>
  </si>
  <si>
    <t>H0710 = אַרְגְּוָן</t>
  </si>
  <si>
    <t>1) purple</t>
  </si>
  <si>
    <t>purple</t>
  </si>
  <si>
    <t>wool dyed with red purple</t>
  </si>
  <si>
    <t>H0711 = אַרְגְּוָן</t>
  </si>
  <si>
    <t>1) purple, red-purple</t>
  </si>
  <si>
    <t>H0712 = אַרְגַּז</t>
  </si>
  <si>
    <t>1) box, chest, coffer</t>
  </si>
  <si>
    <t>box</t>
  </si>
  <si>
    <t>chest, hanging at the side of a vehicle</t>
  </si>
  <si>
    <t>H0713 = אַרְגָּמָן</t>
  </si>
  <si>
    <t>H0714 = אַרְדְּ</t>
  </si>
  <si>
    <t>Ard = "I shall subdue"    1) son of Benjamin    2) grandson of Benjamin</t>
  </si>
  <si>
    <t>Ard</t>
  </si>
  <si>
    <t>אַדָּר   Ard; son of (Bela, son of) Benjamin</t>
  </si>
  <si>
    <t>H0715 = אַרְדּוֹן</t>
  </si>
  <si>
    <t>Ardon = "subduer: fugitive"    1) a son of Caleb</t>
  </si>
  <si>
    <t>Ardon</t>
  </si>
  <si>
    <t>Ardon; son of Caleb; tribe of Judah</t>
  </si>
  <si>
    <t>H0716 = אַרְדִּי</t>
  </si>
  <si>
    <t>Ardites = "I shall subdue"    1) the descendants of Ard</t>
  </si>
  <si>
    <t>Ardite</t>
  </si>
  <si>
    <t>Ardite; descendant of Ard, son of Benjamin</t>
  </si>
  <si>
    <t>H0717 = אָרָה</t>
  </si>
  <si>
    <t>1) to pluck, gather    1a) (Qal) to pluck (grapes)</t>
  </si>
  <si>
    <t>to pluck</t>
  </si>
  <si>
    <t>qal   to pluck</t>
  </si>
  <si>
    <t>H0718 = אֲרוּ</t>
  </si>
  <si>
    <t>1) behold, lo</t>
  </si>
  <si>
    <t>behold!</t>
  </si>
  <si>
    <t>H0719 = אַרְוַד</t>
  </si>
  <si>
    <t>Arvad = "I shall break loose"    1) a city-island near Sidon</t>
  </si>
  <si>
    <t>Arvad</t>
  </si>
  <si>
    <t>Arvad; town in Phoenicia</t>
  </si>
  <si>
    <t>H0720 = אֲרוֹד</t>
  </si>
  <si>
    <t>Arod = "I shall subdue: I shall roam"    1) a son of Gad</t>
  </si>
  <si>
    <t>Arod</t>
  </si>
  <si>
    <t>אֲרוֹדִי   Arod; son of Gad</t>
  </si>
  <si>
    <t>H0721 = אַרְוָדִי</t>
  </si>
  <si>
    <t>Arvadites = "I shall break loose"    1) the descendants of Arvad, a son of Canaan</t>
  </si>
  <si>
    <t>Arvadite</t>
  </si>
  <si>
    <t>Arvadite; inhabitant of Arvad; descendant of Canaan</t>
  </si>
  <si>
    <t>H0722 = אֲרוֹדִי</t>
  </si>
  <si>
    <t>Arodi or Arodites = "I shall subdue: I shall roam"    1) descendants of Arod</t>
  </si>
  <si>
    <t>Arodi</t>
  </si>
  <si>
    <t>(a) אֲרוֹד   Arodi; son of Gad; (b)   Arodi; descendant of Arod, Arodi</t>
  </si>
  <si>
    <t>H0723 = אֻרְיָה</t>
  </si>
  <si>
    <t>1) manger, crib, stall (for animals)</t>
  </si>
  <si>
    <t>stall, stable</t>
  </si>
  <si>
    <t>H0724 = אֲרוּכָה</t>
  </si>
  <si>
    <t>1) healing, restoration</t>
  </si>
  <si>
    <t>health</t>
  </si>
  <si>
    <t>healing</t>
  </si>
  <si>
    <t>H0725 = אֲרוּמָה</t>
  </si>
  <si>
    <t>Arumah = "I shall be exalted"    1) a place near Shechem, home of Abimelech</t>
  </si>
  <si>
    <t>Arumah</t>
  </si>
  <si>
    <t>Arumah; location; territory of Ephraim</t>
  </si>
  <si>
    <t>H0726 = אֲרוֹמִי</t>
  </si>
  <si>
    <t>1) Aramite, Syrian (Kethib), Edomite</t>
  </si>
  <si>
    <t>Syrian</t>
  </si>
  <si>
    <t>H0727 = אֲרוֹן</t>
  </si>
  <si>
    <t>1) chest, ark    1a) money chest    1b) Ark of the Covenant    2)(TWOT) coffin</t>
  </si>
  <si>
    <t>ark</t>
  </si>
  <si>
    <t>(a)   coffin; (b)   ark (of the testimony, covenant); (c)   wooden chest</t>
  </si>
  <si>
    <t>H0728 = אֲרַוְנָה</t>
  </si>
  <si>
    <t>Araunah = "I shall shout for joy" = "make ye to shine" (&lt;ref="2Sa.24.16"&gt;2Sa 24:16&lt;/ref&gt;) or "joyful shouting of Jah" (&lt;ref="2Sa.24.18"&gt;2Sa 24:18&lt;/ref&gt;)    1) a Jebusite who sold David the site for an altar</t>
  </si>
  <si>
    <t>Araunah</t>
  </si>
  <si>
    <t>Araunah; Jebusite</t>
  </si>
  <si>
    <t>H0729 = אָרוּז</t>
  </si>
  <si>
    <t>(CLBL) v    1) (CLBL) to be firm    2) (CLBL) made firm (past part.)    adj    3) (BDB/TWOT) firm, strong</t>
  </si>
  <si>
    <t>reinforced</t>
  </si>
  <si>
    <t>(ropes) tightly (twisted or knotted)</t>
  </si>
  <si>
    <t>H0730 = אֶ֫רֶז</t>
  </si>
  <si>
    <t>1) cedar    1a) cedar tree    1b) cedar timber, cedar wood (in building)    1c) cedar wood (in purifications)</t>
  </si>
  <si>
    <t>cedar</t>
  </si>
  <si>
    <t>cedar tree</t>
  </si>
  <si>
    <t>H0731 = אַרְזָה</t>
  </si>
  <si>
    <t>1) cedar-panels, cedar-work</t>
  </si>
  <si>
    <t>cedar wood</t>
  </si>
  <si>
    <t>H0732 = אָרַח</t>
  </si>
  <si>
    <t>1) to wander, journey, go, keep company with    1a) (Qal)    1a1) to journey, go    1a2) (part.)    1a2a) wandering, wayfarer, journeying    1a3) (subst.)    1a3a) wanderer, wayfarer, traveller</t>
  </si>
  <si>
    <t>to journey</t>
  </si>
  <si>
    <t>(a) qal   to wander; (b) qal   active participle: wanderer</t>
  </si>
  <si>
    <t>H0733 = אָרַח</t>
  </si>
  <si>
    <t>Arah = "traveller"    1) a man of Asher    2) the prominent head of a family of returning exiles    3) another returned exile</t>
  </si>
  <si>
    <t>Arah</t>
  </si>
  <si>
    <t>(a)   Arah; son of Ulla; tribe of Asher; (b)   Arah; family head; after exile; (c)   Arah; father of Shecaniah, father-in-law to Tobiah</t>
  </si>
  <si>
    <t>H0734 = אֹ֫רַח</t>
  </si>
  <si>
    <t>1) way, path    1a) path, road    1b) the path, way, passing of life (fig.)    1c) way of living (fig.)    1d) traveller, wayfarer (meton)</t>
  </si>
  <si>
    <t>way</t>
  </si>
  <si>
    <t>way, path; conduct, behaviour, mode, manner, condition, lot</t>
  </si>
  <si>
    <t>H0735 = אֹ֫רַח</t>
  </si>
  <si>
    <t>1) way, path, course of life</t>
  </si>
  <si>
    <t>H0736 = אֹרְחָה</t>
  </si>
  <si>
    <t>1) caravan, travelling company</t>
  </si>
  <si>
    <t>caravan</t>
  </si>
  <si>
    <t>H0737 = אֲרֻחָה</t>
  </si>
  <si>
    <t>1) meal, allowance, ration    1a) food    1b) diet</t>
  </si>
  <si>
    <t>ration</t>
  </si>
  <si>
    <t>allowance, portion</t>
  </si>
  <si>
    <t>H0738a = אֲרִי</t>
  </si>
  <si>
    <t>1) lion    1a) pictures or images of lions</t>
  </si>
  <si>
    <t>lion</t>
  </si>
  <si>
    <t>H0738b = אַרְיֵה</t>
  </si>
  <si>
    <t>H0739 = אֲרִיאֵל</t>
  </si>
  <si>
    <t>1) meaning uncertain    1a) (CLBL) possibly lion-like    1b) (BDB) possibly two sons of Ariel of Moab</t>
  </si>
  <si>
    <t>Ariel</t>
  </si>
  <si>
    <t>(2a)   Ariel; man; after exile; (2b)   Ariel; another name for Jerusalem</t>
  </si>
  <si>
    <t>H0740 = אֲרִיאֵל</t>
  </si>
  <si>
    <t>Ariel = "lion of God" or "lioness of God"    1) a name applied to Jerusalem    2) the name of a chief of the returning exiles</t>
  </si>
  <si>
    <t>H0741 = אֲרִאֵיל</t>
  </si>
  <si>
    <t>1) hearth, altar hearth, altar</t>
  </si>
  <si>
    <t>altar</t>
  </si>
  <si>
    <t>(1b)   altar-hearth</t>
  </si>
  <si>
    <t>H0742 = אֲרִידַי</t>
  </si>
  <si>
    <t>Aridai = "the lion is enough"    1) a son of Haman</t>
  </si>
  <si>
    <t>Aridai</t>
  </si>
  <si>
    <t>Aridai; son of Haman</t>
  </si>
  <si>
    <t>H0743 = אֲרִידָ֑תָא</t>
  </si>
  <si>
    <t>Aridatha = "the lion of the decree"    1) a son of Haman</t>
  </si>
  <si>
    <t>Aridatha</t>
  </si>
  <si>
    <t>Aridatha; son of Haman</t>
  </si>
  <si>
    <t>H0744 = אַרְיֵה</t>
  </si>
  <si>
    <t>1) lion</t>
  </si>
  <si>
    <t>H0745 = אַרְיֵה</t>
  </si>
  <si>
    <t>Arieh = "lion"    1) an officer of king Pekahiah</t>
  </si>
  <si>
    <t>Arieh</t>
  </si>
  <si>
    <t>(1)   lion ; (2)   Arieh; man?</t>
  </si>
  <si>
    <t>H0746a = אַרְיוֹךְ</t>
  </si>
  <si>
    <t>Arioch = "lion-like"    1) the ancient king of Ellasar, ally of Chedorlaomer</t>
  </si>
  <si>
    <t>Arioch</t>
  </si>
  <si>
    <t>Arioch; king of Ellasar;</t>
  </si>
  <si>
    <t>H0746b = אֲרְיוֹךְ</t>
  </si>
  <si>
    <t>Arioch = "lion-like"    1) the chief of the executioners for Nebuchadnezzar</t>
  </si>
  <si>
    <t>Arioch; man</t>
  </si>
  <si>
    <t>H0747 = אֲרִיסַי</t>
  </si>
  <si>
    <t>Arisai = "lion of my banners (?)"    1) a son of Haman</t>
  </si>
  <si>
    <t>Arisai</t>
  </si>
  <si>
    <t>Arisai; son of Haman</t>
  </si>
  <si>
    <t>H0748 = אָרַךְ</t>
  </si>
  <si>
    <t>1) to be long, prolong    1a) (Qal) to be long    1b) (Hiphil)    1b1) to prolong (days)    1b2) to make long (tent cords)    1b3) to grow long, continue long</t>
  </si>
  <si>
    <t>to prolong</t>
  </si>
  <si>
    <t>(a) qal   to be long; (b) hif.   to lengthen; to be long</t>
  </si>
  <si>
    <t>H0749 = אֲרִיךְ</t>
  </si>
  <si>
    <t>v    1) (CLBL) (P'al) to be long, reach, meet    adj v    2)(BDB/TWOT) fitting, proper</t>
  </si>
  <si>
    <t>be proper</t>
  </si>
  <si>
    <t>H0750 = אָרֵךְ</t>
  </si>
  <si>
    <t>1) long (pinions)    2) patient, slow to anger</t>
  </si>
  <si>
    <t>slow</t>
  </si>
  <si>
    <t>H0751 = אֶ֫רֶךְ</t>
  </si>
  <si>
    <t>Erech = "long"    1) a city 40 miles (64 km) northwest of Ur toward Babylon on the left bank of the Euphrates river</t>
  </si>
  <si>
    <t>Erech</t>
  </si>
  <si>
    <t>Erech; town in Mesopotamia</t>
  </si>
  <si>
    <t>H0752 = אָרֹךְ</t>
  </si>
  <si>
    <t>1) long    1a) of time    1b) of God's wisdom (fig.)</t>
  </si>
  <si>
    <t>long</t>
  </si>
  <si>
    <t>H0753 = אֹ֫רֶךְ</t>
  </si>
  <si>
    <t>1) length    1a) physical length    1b) of time    2) forbearance, self-restraint (of patience)</t>
  </si>
  <si>
    <t>length</t>
  </si>
  <si>
    <t>length \long</t>
  </si>
  <si>
    <t>H0754 = אַרְכָֿא</t>
  </si>
  <si>
    <t>lengthening 1) prolongation, lengthening, prolonging</t>
  </si>
  <si>
    <t>lengthening</t>
  </si>
  <si>
    <t>1) prolongation, lengthening, prolonging</t>
  </si>
  <si>
    <t>H0755 = אַרְכֻבָּה</t>
  </si>
  <si>
    <t>1) knee</t>
  </si>
  <si>
    <t>knee</t>
  </si>
  <si>
    <t>H0756 = אַרְכְּוָיֵא</t>
  </si>
  <si>
    <t>Archevites = "lengthy"    1) a native of the city of Erech</t>
  </si>
  <si>
    <t>Archevite</t>
  </si>
  <si>
    <t>H0757 = אַרְכִּי</t>
  </si>
  <si>
    <t>Archite or Archi = "lengthy"    1) referring to the home city of Hushai</t>
  </si>
  <si>
    <t>Archite</t>
  </si>
  <si>
    <t>Arkite; clan; tribe of Benjamin</t>
  </si>
  <si>
    <t>H0758 = אֲרָם</t>
  </si>
  <si>
    <t>Aram or Arameans = "exalted"    n pr m    1) Aram or Syriathe nation    2) the Syrian or Aramean people    Aram = "exalted"    n m    3) fifth son of Shem    4) a grandson of Nahor    5) a descendant of Asher</t>
  </si>
  <si>
    <t>Aram</t>
  </si>
  <si>
    <t>Syrians of Beth Rehob; Aramean kingdom</t>
  </si>
  <si>
    <t>H0759 = אַרְמוֹן</t>
  </si>
  <si>
    <t>1) citadel, palace, fortress</t>
  </si>
  <si>
    <t>citadel</t>
  </si>
  <si>
    <t>fortress, palace</t>
  </si>
  <si>
    <t>H0760 = אֲרַם צוֹבָה</t>
  </si>
  <si>
    <t>Aram-zobah = "exalted station: exalted conflict"    1) probably the land northeast of Damascus</t>
  </si>
  <si>
    <t>Aram-zobah</t>
  </si>
  <si>
    <t>(a)   Aram, Syria; son of Shem; people, land; (b)   Aram, Syria; son of Kemuel; descendant of Nahor; (c)   Aram, Syria; son of Shemer; tribe of Asher</t>
  </si>
  <si>
    <t>H0761 = אֲרַמִּי</t>
  </si>
  <si>
    <t>Syrian or Aramean = "exalted"    1) a thing or a person from Syria or Aram</t>
  </si>
  <si>
    <t>Aramean</t>
  </si>
  <si>
    <t>Aramean, Syrian; descendant or inhabitant of Aram, Syria</t>
  </si>
  <si>
    <t>H0762 = אֲרָמִית</t>
  </si>
  <si>
    <t>Aramaic = "language"    1) the language of Aram, Aramaic</t>
  </si>
  <si>
    <t>in Aramaic</t>
  </si>
  <si>
    <t>Aramaic; language</t>
  </si>
  <si>
    <t>H0763 = אֲרַם נַהֲרַיִם</t>
  </si>
  <si>
    <t>Aram-naharaim = "Aram of the two rivers"    1) Mesopotamia</t>
  </si>
  <si>
    <t>Mesopotamia</t>
  </si>
  <si>
    <t>H0764 = אַרְמֹנִי</t>
  </si>
  <si>
    <t>Armoni = "one of the palace"    1) a son of Saul</t>
  </si>
  <si>
    <t>Armoni</t>
  </si>
  <si>
    <t>Armoni; son of king Saul</t>
  </si>
  <si>
    <t>H0765 = אֲרָן</t>
  </si>
  <si>
    <t>Aran = "joyous"    1) a descendant of Esau</t>
  </si>
  <si>
    <t>Aran</t>
  </si>
  <si>
    <t>Aran; son of Dishan; descendant of Seir</t>
  </si>
  <si>
    <t>H0766 = אֹ֫רֶן</t>
  </si>
  <si>
    <t>1) fir tree, cedar</t>
  </si>
  <si>
    <t>fir</t>
  </si>
  <si>
    <t>(1)   pine tree, fir tree</t>
  </si>
  <si>
    <t>H0767 = אֹ֫רֶן</t>
  </si>
  <si>
    <t>Oren = "cedar"    1) a descendant of Judah</t>
  </si>
  <si>
    <t>Oren</t>
  </si>
  <si>
    <t>(2)   Oren; son of Jerahmeel; tribe of Judah</t>
  </si>
  <si>
    <t>H0768 = אַרְנֶבֶת</t>
  </si>
  <si>
    <t>1) hare    1a) probably an extinct animal because no known hare chews its cud, exact meaning is unknown, and best left untranslated as "arnebeth"</t>
  </si>
  <si>
    <t>hare</t>
  </si>
  <si>
    <t>H0769 = אַרְנוֹן</t>
  </si>
  <si>
    <t>Arnon = "rushing stream"    1) a river and surrounding valley in south Palestine, forms the border between Moab and the Amorites</t>
  </si>
  <si>
    <t>Arnon</t>
  </si>
  <si>
    <t>Arnon; river</t>
  </si>
  <si>
    <t>H0770 = אַרְנָן</t>
  </si>
  <si>
    <t>Arnan = "lion of perpetuity: or a wild goat: I shall shout for joy"    1) a descendant of David</t>
  </si>
  <si>
    <t>Arnan</t>
  </si>
  <si>
    <t>Arnan; descendant of Zerubbabel; tribe of Judah</t>
  </si>
  <si>
    <t>H0771 = אׇרְנָן</t>
  </si>
  <si>
    <t>Ornan = "light was perpetuated: their fir trees"    1) a Jebusite who sold, to David, a threshing floor for an altar</t>
  </si>
  <si>
    <t>Ornan</t>
  </si>
  <si>
    <t>Ornan; Jebusite</t>
  </si>
  <si>
    <t>H0772 = אֲרַע</t>
  </si>
  <si>
    <t>1) earth, world, ground</t>
  </si>
  <si>
    <t>earth</t>
  </si>
  <si>
    <t>land, ground, country</t>
  </si>
  <si>
    <t>H0773 = אַרְעִי</t>
  </si>
  <si>
    <t>1) bottom</t>
  </si>
  <si>
    <t>bottom</t>
  </si>
  <si>
    <t>H0774 = אַרְפַּד</t>
  </si>
  <si>
    <t>Arpad or Arphad = "I shall be spread out (or supported)"    1) a city in northern Syria cited as an example of the Assyrian conquest</t>
  </si>
  <si>
    <t>Arpad</t>
  </si>
  <si>
    <t>Arpad; town in Syria</t>
  </si>
  <si>
    <t>H0775 = אַרְפַּכְשַׁד</t>
  </si>
  <si>
    <t>Arphaxad = "I shall fail as the breast: he cursed the breast-bottle"    1) third son of Shem</t>
  </si>
  <si>
    <t>Arpachshad</t>
  </si>
  <si>
    <t>Arpachshad; son of Shem</t>
  </si>
  <si>
    <t>H0776 = אֶ֫רֶץ</t>
  </si>
  <si>
    <t>1) land, earth    1a) earth    1a1) whole earth (as opposed to a part)    1a2) earth (as opposed to heaven)    1a3) earth (inhabitants)    1b) land    1b1) country, territory    1b2) district, region    1b3) tribal territory    1b4) piece of ground    1b5) land of Canaan, Israel    1b6) inhabitants of land    1b7) Sheol, land without return, (under) world    1b8) city (-state)    1c) ground, surface of the earth    1c1) ground    1c2) soil    1d) (in phrases)    1d1) people of the land    1d2) space or distance of country (in measurements of distance)    1d3) level or plain country    1d4) land of the living    1d5) end(s) of the earth    1e) (almost wholly late in usage)    1e1) lands, countries    1e1a) often in contrast to Canaan</t>
  </si>
  <si>
    <t>H0777 = אַרְצָא</t>
  </si>
  <si>
    <t>Arza = "earthy"    1) housekeeper of Elah, king of Israel</t>
  </si>
  <si>
    <t>Arza</t>
  </si>
  <si>
    <t>Arza; official; time of Elah, king of Israel</t>
  </si>
  <si>
    <t>H0778 = אֲרַק</t>
  </si>
  <si>
    <t>1) earth, the earth</t>
  </si>
  <si>
    <t>H0779 = אָרַר</t>
  </si>
  <si>
    <t>1) to curse    1a) (Qal)    1a1) to curse    1a2) cursed be he (participle used as in curses)    1b) (Niphal) to be cursed, cursed    1c)(Piel) to curse, lay under a curse, put a curse on    1d) (Hophal) to be made a curse, be cursed</t>
  </si>
  <si>
    <t>to curse</t>
  </si>
  <si>
    <t>(a) qal   to curse; (b) nif.   to be cursed; (c) pi.   to curse; (d) hof.   to be cursed</t>
  </si>
  <si>
    <t>H0780 = אֲרָרַט</t>
  </si>
  <si>
    <t>Ararat = "the curse reversed: precipitation of curse"    1) a mountainous region of eastern Armenia, between the river Araxes and the lakes Van and Oroomiah, the site where Noah's ark came to rest    2) (TWOT) the mountain where Noah's ark came to rest</t>
  </si>
  <si>
    <t>Ararat</t>
  </si>
  <si>
    <t>Ararat; area and people; Armenia</t>
  </si>
  <si>
    <t>H0781 = אָרַשׂ</t>
  </si>
  <si>
    <t>1) to betroth, engage    1a) (Piel) to betroth (man or woman)    1b) (Pual) to be betrothed</t>
  </si>
  <si>
    <t>to betroth</t>
  </si>
  <si>
    <t>(a) pi.   to betroth; (b) pu.   to be betrothed</t>
  </si>
  <si>
    <t>H0782 = אֲרֶ֫שֶׁת</t>
  </si>
  <si>
    <t>1) desire, request</t>
  </si>
  <si>
    <t>request</t>
  </si>
  <si>
    <t>H0783a = אַרְתַּחְשַׁשְׂתָּא</t>
  </si>
  <si>
    <t>Artaxerxes = "I will make the spoiled to boil: I will stir myself (in) winter"    1) son and successor of Xerxes as emperor of Persia, 465-424 BC</t>
  </si>
  <si>
    <t>Artaxerxes</t>
  </si>
  <si>
    <t>Artaxerxes; king of Persia</t>
  </si>
  <si>
    <t>H0783b = אַרְתַּחְשַׁשְׂתְּא</t>
  </si>
  <si>
    <t>H0784 = אֵשׁ</t>
  </si>
  <si>
    <t>1) fire    1a) fire, flames    1b) supernatural fire (accompanying theophany)    1c) fire (for cooking, roasting, parching)    1d) altar-fire    1e) God's anger (fig.)</t>
  </si>
  <si>
    <t>H0785 = אֶשָּׁא</t>
  </si>
  <si>
    <t>1) fire</t>
  </si>
  <si>
    <t>H0786 = אִשׁ</t>
  </si>
  <si>
    <t>1) there is, there are</t>
  </si>
  <si>
    <t>there is, there are</t>
  </si>
  <si>
    <t>H0787 = אֹשׁ</t>
  </si>
  <si>
    <t>H0788 = אַשְׁבֵּל</t>
  </si>
  <si>
    <t>Ashbel = "a man in God: a man of Baal: fire of Bel: I will make a path"    1) second son of Benjamin</t>
  </si>
  <si>
    <t>Ashbel</t>
  </si>
  <si>
    <t>Ashbel; son of Benjamin</t>
  </si>
  <si>
    <t>H0789 = אַשְׁבֵּלִי</t>
  </si>
  <si>
    <t>Ashbelites = "a man in God: a man of Baal: fire of Bel: I will make a path"    1) descendants of Ashbel</t>
  </si>
  <si>
    <t>Ashbelite</t>
  </si>
  <si>
    <t>Ashbelite; descendant of Ashbel, son of Benjamin</t>
  </si>
  <si>
    <t>H0790 = אֶשְׁבָּן</t>
  </si>
  <si>
    <t>Eshban = "fire of discernment"    1) an chief of Edom</t>
  </si>
  <si>
    <t>Eshban</t>
  </si>
  <si>
    <t>Eshban; son of Dishon; descendant of Seir</t>
  </si>
  <si>
    <t>H0791 = אַשְׁבֵּעַ</t>
  </si>
  <si>
    <t>Ashbea = "I shall make to swear"    1) the patriarch of a family of Judah</t>
  </si>
  <si>
    <t>Ashbea</t>
  </si>
  <si>
    <t>H0792 = אֶשְׁבַּעַל</t>
  </si>
  <si>
    <t>Eshbaal = "a man of Baal"    1) the fourth son of Saul, also called Ishbosheth</t>
  </si>
  <si>
    <t>Eshbaal</t>
  </si>
  <si>
    <t>Eshbaal; son of king Saul; tribe of Benjamin</t>
  </si>
  <si>
    <t>H0793 = אֶ֫שֶׁד</t>
  </si>
  <si>
    <t>1) bottom, slope, foundation, lower part</t>
  </si>
  <si>
    <t>slope</t>
  </si>
  <si>
    <t>H0794 = אֲשֵׁדָה</t>
  </si>
  <si>
    <t>1) foundation, slope</t>
  </si>
  <si>
    <t>H0795 = אַשְׁדּוֹד</t>
  </si>
  <si>
    <t>Ashdod = "powerful"    1) a major Philistine city on the Mediterranean Sea west from Jerusalem, modern Esdud</t>
  </si>
  <si>
    <t>Ashdod</t>
  </si>
  <si>
    <t>Ashdod; town in Philistia</t>
  </si>
  <si>
    <t>H0796 = אַשְׁדּוֹדִי</t>
  </si>
  <si>
    <t>Ashdodites = "I will spoil"    1) an inhabitant of Ashdod</t>
  </si>
  <si>
    <t>Ashdodite</t>
  </si>
  <si>
    <t>Ashdodite; inhabitant of Ashdod</t>
  </si>
  <si>
    <t>H0797 = אַשְׁדּוֹדִית</t>
  </si>
  <si>
    <t>Ashdodites = "I will spoil"    1) language of Ashdod</t>
  </si>
  <si>
    <t>d in the language of Ashdod</t>
  </si>
  <si>
    <t>H0798 = אַשְׁדּוֹת הַפִּסְגָּה</t>
  </si>
  <si>
    <t>Ashdoth-pisgah = "slopes of Pisgah"    1) the mountains of Pisgah, which include Mt. Nebo</t>
  </si>
  <si>
    <t>Ashdoth-pisgah</t>
  </si>
  <si>
    <t>H0799 = אֶשְׁדָּת</t>
  </si>
  <si>
    <t>1) fiery law, fire of a law, fire was a law (meaning uncertain)</t>
  </si>
  <si>
    <t>fiery</t>
  </si>
  <si>
    <t>H0800 = אֶשָּׁה</t>
  </si>
  <si>
    <t>H0801 = אִשֶּׁה</t>
  </si>
  <si>
    <t>1) burnt-offering, offering made by fire, fire offering</t>
  </si>
  <si>
    <t>burnt offering</t>
  </si>
  <si>
    <t>offerings made by fire</t>
  </si>
  <si>
    <t>H0802 = אִשָּׁה</t>
  </si>
  <si>
    <t>1) woman, wife, female    1a) woman (opposite of man)    1b) wife (woman married to a man)    1c) female (of animals)    1d) each, every (pronoun)</t>
  </si>
  <si>
    <t>woman</t>
  </si>
  <si>
    <t>woman, wife</t>
  </si>
  <si>
    <t>H0803 = אָשְׁיָה</t>
  </si>
  <si>
    <t>1) buttress, support</t>
  </si>
  <si>
    <t>pillar? bulwark? tower?</t>
  </si>
  <si>
    <t>H0804 = אַשּׁוּר</t>
  </si>
  <si>
    <t>Asshur or Assyria = "a step"    n pr m    1) the second son of Shem, eponymous ancestor of the Assyrians    2) the people of Assyria    n pr loc    3) the nation, Assyria    4) the land, Assyria or Asshur</t>
  </si>
  <si>
    <t>Asshur</t>
  </si>
  <si>
    <t>Asshur; son of Shem; people, land</t>
  </si>
  <si>
    <t>H0805a = אַשּׁוּרִם</t>
  </si>
  <si>
    <t>Ashurites = "guided: blessed"    n pr m    1) a tribe descended from Abraham and Keturah</t>
  </si>
  <si>
    <t>Ashurite</t>
  </si>
  <si>
    <t>Asshurim; people; descendants of Jokshan</t>
  </si>
  <si>
    <t>H0805b = אֲשׁוּרִי</t>
  </si>
  <si>
    <t>Ashurites = "guided: blessed"    adj    1) a tribe inhabiting the plain of Esdraelon    Asshuri = "steps"</t>
  </si>
  <si>
    <t>Ashurite; people? location?</t>
  </si>
  <si>
    <t>H0806 = אַשְׁחוּר</t>
  </si>
  <si>
    <t>Ashur = "black"    1) son of Pharez</t>
  </si>
  <si>
    <t>Ashhur</t>
  </si>
  <si>
    <t>Ashhur; son of Caleb; founder of Tekoa; tribe of Judah</t>
  </si>
  <si>
    <t>H0807 = אֲשִׁימָא</t>
  </si>
  <si>
    <t>Ashima = "guiltiness: I will make desolate"    1) a god of Hamath</t>
  </si>
  <si>
    <t>Ashima</t>
  </si>
  <si>
    <t>Ashima; deity of Hamath</t>
  </si>
  <si>
    <t>H0808 = אָשִׁישׁ</t>
  </si>
  <si>
    <t>1) with sense of pressing down, foundation</t>
  </si>
  <si>
    <t>H0809 = אֲשִׁישָׁה</t>
  </si>
  <si>
    <t>1) raisin-cake, used in sacrificial feasts    1a) consistently translated in AV as "flagon of wine"</t>
  </si>
  <si>
    <t>raisin bun</t>
  </si>
  <si>
    <t>raisin-cake; made of dried, compressed grapes</t>
  </si>
  <si>
    <t>H0810 = אֶ֫שֶׁךְ</t>
  </si>
  <si>
    <t>1) testicle    2) (CLBL) stone</t>
  </si>
  <si>
    <t>testicle</t>
  </si>
  <si>
    <t>H0811 = אֶשְׁכּוֹל</t>
  </si>
  <si>
    <t>1) cluster    1a) of grapes    1b) of flowers (metaphor of lover)</t>
  </si>
  <si>
    <t>cluster</t>
  </si>
  <si>
    <t>(1)   cluster (e.g. of grapes; FF 162,191); (2a)   Eshcol; Amorite; (2b)   Eshcol; valley</t>
  </si>
  <si>
    <t>H0812 = אֶשְׁכֹּל</t>
  </si>
  <si>
    <t>Eshcol = "cluster"    1) an area of Hebron, the valley of Eshcol    2) an Amorite, the brother of Mamre, dwelling in Hebron</t>
  </si>
  <si>
    <t>Eshcol</t>
  </si>
  <si>
    <t>H0813 = אַשְׁכְּנַז</t>
  </si>
  <si>
    <t>Ashchenaz or Ashkenaz = "a man as sprinkled: fire as scattered"    1) a descendant of Japheth    2) a northern people, perhaps of Bithynia</t>
  </si>
  <si>
    <t>Ashkenaz</t>
  </si>
  <si>
    <t>(a)   Ashkenaz; son of Gomer; descendant of Japheth; ancestor of [b.]; (b)   Ashkenaz; area and people; Armenia</t>
  </si>
  <si>
    <t>H0814 = אֶשְׁכָּר</t>
  </si>
  <si>
    <t>1) gift</t>
  </si>
  <si>
    <t>gift</t>
  </si>
  <si>
    <t>tribute</t>
  </si>
  <si>
    <t>H0815 = אֵ֫שֶׁל</t>
  </si>
  <si>
    <t>1) tamarisk tree</t>
  </si>
  <si>
    <t>tamarisk(s)</t>
  </si>
  <si>
    <t>tamarisk tree</t>
  </si>
  <si>
    <t>H0816 = אָשַׁם</t>
  </si>
  <si>
    <t>1) to offend, be guilty, trespass    1a) (Qal)    1a1) to do wrong, offend, trespass, commit an offense, do injury    1a2) to be or become guilty    1a3) to be held guilty    1a4) to be incriminated    1b) (Niphal) to suffer punishment    1c) (Hiphil) to declare guilty    2) (TWOT) to be desolate, acknowledge offense</t>
  </si>
  <si>
    <t>be guilty</t>
  </si>
  <si>
    <t>(a) qal   to be, become guilty; to be held guilty, suffer punishment; (b) hif.   to declare guilty; (c) nif.   to suffer</t>
  </si>
  <si>
    <t>H0817 = אָשָׁם</t>
  </si>
  <si>
    <t>1) guilt, offense, guiltiness    1a) offense, trespass, fault    1b) guilt, guiltiness    1c) compensation (for offense)    1d) trespass offering, guilt offering</t>
  </si>
  <si>
    <t>guilt (offering)</t>
  </si>
  <si>
    <t>(a)   guilt-offering; (b)   offence; guilt; that by which anyone contacts guilt;</t>
  </si>
  <si>
    <t>H0818 = אָשֵׁם</t>
  </si>
  <si>
    <t>1) guilty, faulty (and obliged to offer a guilt-offering)</t>
  </si>
  <si>
    <t>guilty</t>
  </si>
  <si>
    <t>H0819 = אַשְׁמָה</t>
  </si>
  <si>
    <t>1) guiltiness, guilt, offense, sin, wrong-doing    1a) doing wrong, committing a trespass or offense    1b) becoming guilty, guilt    1c) bringing a guilt-offering</t>
  </si>
  <si>
    <t>guiltiness</t>
  </si>
  <si>
    <t>guiltiness, guilt; guilt-offering; gift of restitution; gift of atonement</t>
  </si>
  <si>
    <t>H0820 = אַשְׁמַנִּים</t>
  </si>
  <si>
    <t>1) the stout, among the stout    2) (CLBL) the desolate, like dead</t>
  </si>
  <si>
    <t>fat men?</t>
  </si>
  <si>
    <t>H0821 = אַשְׁמוּרָה</t>
  </si>
  <si>
    <t>1) watch (a period of time), night-watch</t>
  </si>
  <si>
    <t>watch</t>
  </si>
  <si>
    <t>night-watch</t>
  </si>
  <si>
    <t>H0822 = אֶשְׁנָב</t>
  </si>
  <si>
    <t>1) window-lattice</t>
  </si>
  <si>
    <t>lattice</t>
  </si>
  <si>
    <t>latticed window</t>
  </si>
  <si>
    <t>H0823 = אַשְׁנָה</t>
  </si>
  <si>
    <t>Ashnah = "I will cause change"    1) a town near Dan    2) a town in Judah</t>
  </si>
  <si>
    <t>Ashnah</t>
  </si>
  <si>
    <t>(a)   Ashnah; town; territory of Judah (west); (b)   Ashnah; town; territory of Judah (south)</t>
  </si>
  <si>
    <t>H0824 = אֶשְׁעָ֑ן</t>
  </si>
  <si>
    <t>Eshean = "support"    1) a city in Judah</t>
  </si>
  <si>
    <t>Eshan</t>
  </si>
  <si>
    <t>Eshanu; location; territory of Judah (mountains)</t>
  </si>
  <si>
    <t>H0825 = אַשָּׁף</t>
  </si>
  <si>
    <t>1) necromancer, conjurer,    2) (TWOT) astrologer, enchanter, exorcist</t>
  </si>
  <si>
    <t>enchanter</t>
  </si>
  <si>
    <t>conjurer</t>
  </si>
  <si>
    <t>H0826 = אָשַׁף</t>
  </si>
  <si>
    <t>1) conjurer, enchanter, (CLBL) necromancer</t>
  </si>
  <si>
    <t>H0827 = אַשְׁפָּה</t>
  </si>
  <si>
    <t>1) quiver (for arrows)    1a) of home, of God's instruments (fig.)</t>
  </si>
  <si>
    <t>quiver</t>
  </si>
  <si>
    <t>H0828 = אַשְׁפְּנַז</t>
  </si>
  <si>
    <t>Ashpenaz = "I will make prominent the sprinkled"    1) chief eunuch of Nebuchadnezzar</t>
  </si>
  <si>
    <t>Ashpenaz</t>
  </si>
  <si>
    <t>Ashpenaz; chief of eunuchs of king Nebukadnezzar</t>
  </si>
  <si>
    <t>H0829 = אֶשְׁפָּר</t>
  </si>
  <si>
    <t>1) piece of meat, measured portion, date-cake (meaning and significance obscure)</t>
  </si>
  <si>
    <t>date-cake; made out of dates and cooked or raw cereals</t>
  </si>
  <si>
    <t>H0830 = אַשְׁפֹּת</t>
  </si>
  <si>
    <t>1) ash heap, refuse heap, dung-hill</t>
  </si>
  <si>
    <t>refuse</t>
  </si>
  <si>
    <t>ash-pit</t>
  </si>
  <si>
    <t>H0831 = אַשְׁקְלוֹן</t>
  </si>
  <si>
    <t>Askelon or Ashkelon = "the fire of infamy: I shall be weighed"    1) a maritime city of the Philistines, southwest of Jerusalem</t>
  </si>
  <si>
    <t>Ashkelon</t>
  </si>
  <si>
    <t>Ashkelon; town in Philistia</t>
  </si>
  <si>
    <t>H0832 = אֶשְׁקְלוֹנִי</t>
  </si>
  <si>
    <t>Eshkalonites = "the fire of infamy: I shall be weighed"    1) an inhabitant of Ashkelon</t>
  </si>
  <si>
    <t>Ashkelonite</t>
  </si>
  <si>
    <t>Ashkelonite; inhabitant of Ashkelon</t>
  </si>
  <si>
    <t>H0833 = אָשַׁר</t>
  </si>
  <si>
    <t>1) to go straight, walk, go on, advance, make progress    1a)(Qal) to go straight on, make progress    1b) (Piel)    1b1) to go straight on, advance    1b2) to lead on (causative)    1b3) to set right, righten    1b4) to pronounce happy, call blessed    1c) (Pual)    1c1) to be advanced, be led on    1c2) to be made happy, be blessed</t>
  </si>
  <si>
    <t>to bless</t>
  </si>
  <si>
    <t>(a) qal   to go straight on; (b) pi.   to go straight on; (c) pi.   to guide; (d) pi.   to pronounce happy, call blessed; (e) pu.   to be guided; (f) pu.   to be pronounced happy, blessed</t>
  </si>
  <si>
    <t>H0834a = אֲשֶׁר</t>
  </si>
  <si>
    <t>1) (relative part.)    1a) which, who    1b) that which    2) (conj)    2a) that (in obj clause)    2b) when    2c) since    2d) as    2e) conditional if</t>
  </si>
  <si>
    <t>which</t>
  </si>
  <si>
    <t>relative clause particle, conjunction</t>
  </si>
  <si>
    <t>H0834b = בַאֲשֶׁר</t>
  </si>
  <si>
    <t>1) in (that) which    2) (adv)    2a) where    3) (conj)    3a) in that, inasmuch as    3b) on account of</t>
  </si>
  <si>
    <t>in which</t>
  </si>
  <si>
    <t>H0834c = מֵאֲשֶׁר</t>
  </si>
  <si>
    <t>1) from (or than) that which    2) from (the place) where    3) from (the fact) that, since</t>
  </si>
  <si>
    <t>from which</t>
  </si>
  <si>
    <t>H0834d = כַּאֲשֶׁר</t>
  </si>
  <si>
    <t>conj     1) according as, as, when    1a) according to that which, according as, as    1b) with a causal force: in so far as, since    1c) with a temporal force: when</t>
  </si>
  <si>
    <t>as which</t>
  </si>
  <si>
    <t>H0835 = אֶ֫שֶׁר</t>
  </si>
  <si>
    <t>1) happiness, blessedness    1a) often used as interjection    1b) blessed are</t>
  </si>
  <si>
    <t>blessed</t>
  </si>
  <si>
    <t>happiness</t>
  </si>
  <si>
    <t>H0836 = אָשֵׁר</t>
  </si>
  <si>
    <t>Asher = "happy"    1) son of Jacob and Zilpah    2) the tribe descended from Asher    3) a city east of Shechem in Manasseh</t>
  </si>
  <si>
    <t>Asher</t>
  </si>
  <si>
    <t>(a)   Asher; son of Jacob; founder of tribe of Israel; (b)   Asher; location</t>
  </si>
  <si>
    <t>H0837 = אֹ֫שֶׁר</t>
  </si>
  <si>
    <t>1) happiness</t>
  </si>
  <si>
    <t>happy</t>
  </si>
  <si>
    <t>H0838a = אֲשׁוּר</t>
  </si>
  <si>
    <t>1) step, going</t>
  </si>
  <si>
    <t>step</t>
  </si>
  <si>
    <t>H0838b = אַשֻּׁר</t>
  </si>
  <si>
    <t>H0839 = אֲשֻׁרִים</t>
  </si>
  <si>
    <t>1) one from the tribe of Asher</t>
  </si>
  <si>
    <t>boxwood</t>
  </si>
  <si>
    <t>(a)   step; (b)   box tree, cypress</t>
  </si>
  <si>
    <t>H0840 = אֲשַׂרְאֵל</t>
  </si>
  <si>
    <t>Asareel = "God holds"    1) a descendant of Judah through Caleb</t>
  </si>
  <si>
    <t>Asarel</t>
  </si>
  <si>
    <t>Asarel; son of Jehalleleel; tribe of Judah</t>
  </si>
  <si>
    <t>H0841 = אֲשַׂרְאֵ֫לָה</t>
  </si>
  <si>
    <t>Asarelah = "God holds"    1) a son of Asaph, appointed sanctuary musician by David</t>
  </si>
  <si>
    <t>Asharelah</t>
  </si>
  <si>
    <t>Asarelah; son of Asaph; temple singer; time of king David</t>
  </si>
  <si>
    <t>H0842 = אֲשֵׁרָה</t>
  </si>
  <si>
    <t>Ashera(h) = "groves (for idol worship)"    1) a Babylonian (Astarte)-Canaanite goddess (of fortune and happiness), the supposed consort of Baal, her images    1a) the goddess, goddesses    1b) her images    1c) sacred trees or poles set up near an altar</t>
  </si>
  <si>
    <t>Asherah</t>
  </si>
  <si>
    <t>Asherah; goddess; sacred wooden pole, set up near the altar</t>
  </si>
  <si>
    <t>H0843 = אָשֵׁרִי</t>
  </si>
  <si>
    <t>Asherites = "happy"    1) those descended from Asher</t>
  </si>
  <si>
    <t>Asherite</t>
  </si>
  <si>
    <t>Asherite; member of tribe of Asher</t>
  </si>
  <si>
    <t>H0844 = אַשְׂרִיאֵל</t>
  </si>
  <si>
    <t>Ashriel or Asriel = "I shall be prince of God"    1) a great-grandson of Manasseh, and son of Gilead    2) a son of Manasseh</t>
  </si>
  <si>
    <t>Asriel</t>
  </si>
  <si>
    <t>Asriel; son of Gilead; tribe of Manasseh</t>
  </si>
  <si>
    <t>H0845 = אַשְׂרִיאֵלִי</t>
  </si>
  <si>
    <t>Asrielites = "I shall be prince of God"    1) the clan descended from Ashriel</t>
  </si>
  <si>
    <t>Asrielite</t>
  </si>
  <si>
    <t>Asrielite; descendant of Asriel, son of Gilead; tribe of Manasseh</t>
  </si>
  <si>
    <t>H0846 = אֻשַּׁרְנָא</t>
  </si>
  <si>
    <t>1) wall, panelling, beams, structure (precise meaning and derivation uncertain)</t>
  </si>
  <si>
    <t>wall</t>
  </si>
  <si>
    <t>H0847 = אֶשְׁתָּאוֹל</t>
  </si>
  <si>
    <t>Eshtaol = "entreaty"    1) a Danite city located within Judah</t>
  </si>
  <si>
    <t>Eshtaol</t>
  </si>
  <si>
    <t>Eshtaol; town; territory of Dan</t>
  </si>
  <si>
    <t>H0848 = אֶשְׁתָּאֻלִי</t>
  </si>
  <si>
    <t>Eshtaulites = "I will be entreated"    1) the inhabitants of Eshtaol</t>
  </si>
  <si>
    <t>Eshtaolite</t>
  </si>
  <si>
    <t>Eshtaolite; inhabitant of Eshtaol</t>
  </si>
  <si>
    <t>H0849 = אֶשְׁתַּדּוּר</t>
  </si>
  <si>
    <t>1) revolt, sedition</t>
  </si>
  <si>
    <t>sedition</t>
  </si>
  <si>
    <t>H0850 = אֶשְׁתּוֹן</t>
  </si>
  <si>
    <t>Eshton = "effeminate"    1) a descendant of Caleb of tribe of Judah</t>
  </si>
  <si>
    <t>Eshton</t>
  </si>
  <si>
    <t>Eshton; son of Mehir; tribe of Judah</t>
  </si>
  <si>
    <t>H0851 = אֶשְׁתְּמוֹעַ</t>
  </si>
  <si>
    <t>Eshtemoa = "I will make myself heard" Eshtemoh = "I shall cause my own ruin: fire of astonishment: I shall soar aloft"    1) a Levitical city in Judah    2) a man of Judah</t>
  </si>
  <si>
    <t>Eshtemoa</t>
  </si>
  <si>
    <t>Eshtemoa; town; for Levites; territory of Judah</t>
  </si>
  <si>
    <t>H0852 = אָת</t>
  </si>
  <si>
    <t>1) sign, miraculous signs, wonders</t>
  </si>
  <si>
    <t>H0853 = אֵת</t>
  </si>
  <si>
    <t>1) sign of the definite direct object, not translated in English but generally preceding and indicating the accusative</t>
  </si>
  <si>
    <t>[Obj.]</t>
  </si>
  <si>
    <t>H0854 = אֵת</t>
  </si>
  <si>
    <t>1) with, near, together with    1a) with, together with    1b) with (of relationship)    1c) near (of place)    1d) with (poss.)    1e) from...with, from (with other prep)</t>
  </si>
  <si>
    <t>with</t>
  </si>
  <si>
    <t>H0855 = אֵת</t>
  </si>
  <si>
    <t>1) ploughshare</t>
  </si>
  <si>
    <t>plowshare</t>
  </si>
  <si>
    <t>(1)   plowshare, mattock; (2)   object marker; (3)   by the side of, together with</t>
  </si>
  <si>
    <t>H0856 = אֶתְבַּ֫עַל</t>
  </si>
  <si>
    <t>Ethbaal = "with Baal"    1) king of Sidon, father of Jezebel</t>
  </si>
  <si>
    <t>Ethbaal</t>
  </si>
  <si>
    <t>Ethbaal; king of Sidon; father-in-law of king Ahab</t>
  </si>
  <si>
    <t>H0857 = אָתָה</t>
  </si>
  <si>
    <t>1) to come, arrive    1a) (Qal) to come (of men, time, beasts, calamity)    1b) (Hiphil) to bring</t>
  </si>
  <si>
    <t>to come</t>
  </si>
  <si>
    <t>(a) qal   to come; (b) hif.   to bring</t>
  </si>
  <si>
    <t>H0858 = אֲתָה</t>
  </si>
  <si>
    <t>1) to come, arrive    1a) (P'al) to come    1b) (Aphel) to bring    1c) (Hophal) to be brought    2) used in the NT in the phrase "maranatha" -"Lord come"</t>
  </si>
  <si>
    <t>H0859a = אַתָּ֫ה</t>
  </si>
  <si>
    <t>1) you (second pers. sing. masc.)</t>
  </si>
  <si>
    <t>you(m.s.)</t>
  </si>
  <si>
    <t>pronoun   personal pronoun 2 masculine singular: you</t>
  </si>
  <si>
    <t>H0859b = אתִּי</t>
  </si>
  <si>
    <t>you(f.s.): 1) you (second pers. sing. fem.)</t>
  </si>
  <si>
    <t>you(f.s.):</t>
  </si>
  <si>
    <t>1) you (second pers. sing. fem.)</t>
  </si>
  <si>
    <t>H0859c = אַתְּ</t>
  </si>
  <si>
    <t>you(f.s.)</t>
  </si>
  <si>
    <t>pronoun   personal pronoun 2 singular feminine: you</t>
  </si>
  <si>
    <t>H0859d = אַתֶּם</t>
  </si>
  <si>
    <t>1) you (second pers. pl. masc.)</t>
  </si>
  <si>
    <t>you(m.p.)</t>
  </si>
  <si>
    <t>H0859e = אַתֵּן</t>
  </si>
  <si>
    <t>1) you (second pers. pl. fem.)</t>
  </si>
  <si>
    <t>pronoun   personal pronoun 2 feminine plural: you</t>
  </si>
  <si>
    <t>H0860 = אָתוֹן</t>
  </si>
  <si>
    <t>1) she-ass, she-donkey</t>
  </si>
  <si>
    <t>she-ass</t>
  </si>
  <si>
    <t>female donkey</t>
  </si>
  <si>
    <t>H0861 = אַתּוּן</t>
  </si>
  <si>
    <t>1) furnace</t>
  </si>
  <si>
    <t>furnace</t>
  </si>
  <si>
    <t>H0862a = אַתּוּק</t>
  </si>
  <si>
    <t>1) gallery, porch</t>
  </si>
  <si>
    <t>gallery</t>
  </si>
  <si>
    <t>galery, sloping?</t>
  </si>
  <si>
    <t>H0862b = אַתִּיק</t>
  </si>
  <si>
    <t>H0863 = אִתַּי</t>
  </si>
  <si>
    <t>Ittai or Ithai = "with me"    1) a Gittite commander from Gath in David's army    2) one of David's 30 mighty warriors, a Benjamite</t>
  </si>
  <si>
    <t>Ittai</t>
  </si>
  <si>
    <t>(a) אִיתַי   Ittai; son of Ribai; warrior; time of David; (b)   Ittai; friend of David; from Gath</t>
  </si>
  <si>
    <t>H0864 = אֵתָם</t>
  </si>
  <si>
    <t>Etham = "with them: their plowshare"    1) a stopping place for Israel during the Exodus</t>
  </si>
  <si>
    <t>Etham</t>
  </si>
  <si>
    <t>Etham; location along route of exodus</t>
  </si>
  <si>
    <t>H0865 = אֶתְמוֹל</t>
  </si>
  <si>
    <t>1) yesterday, recently, formerly    1a) yesterday    1b) formerly (fig.)    1c) from yesterday, already (in phrase)    2) (TWOT +) before, before that time, before the time, heretofore, of late, of old, these days, time(s) past</t>
  </si>
  <si>
    <t>previously</t>
  </si>
  <si>
    <t>yesterday</t>
  </si>
  <si>
    <t>H0866 = אֶתְנָה</t>
  </si>
  <si>
    <t>1) hire, price (of a harlot)    2) (TWOT) reward</t>
  </si>
  <si>
    <t>wages</t>
  </si>
  <si>
    <t>H0867 = אֶתְנִי</t>
  </si>
  <si>
    <t>Ethni = "my hire"    1) an ancestor of Asaph</t>
  </si>
  <si>
    <t>Ethni</t>
  </si>
  <si>
    <t>Ethni; son of Zerah; ancestor of Asaph; tribe of Levi</t>
  </si>
  <si>
    <t>H0868 = אֶתְנַן</t>
  </si>
  <si>
    <t>1) hire of prostitute, price    1a) hire (of harlot)    1b) of idolatrous Israel, Jerusalem, Tyre (fig.)</t>
  </si>
  <si>
    <t>H0869 = אֶתְנַן</t>
  </si>
  <si>
    <t>Ethnan = "hire of unchastity"    1) a grandson of Ashur</t>
  </si>
  <si>
    <t>Ethnan</t>
  </si>
  <si>
    <t>(1)   gift; (2)   Ethnan; son of Ashhur; tribe of Judah</t>
  </si>
  <si>
    <t>H0870 = אֲתַר</t>
  </si>
  <si>
    <t>1) track, place</t>
  </si>
  <si>
    <t>place</t>
  </si>
  <si>
    <t>H0871 = אֲתָרִים</t>
  </si>
  <si>
    <t>1) meaning uncertain-perhaps mountain pass or caravan route</t>
  </si>
  <si>
    <t>Atharim</t>
  </si>
  <si>
    <t>Atharim; location</t>
  </si>
  <si>
    <t>H0872 = בִּאָה</t>
  </si>
  <si>
    <t>1) entrance, a coming in, entering, entry (of the temple)    1a) entrance    1b) entering (act of entrance)</t>
  </si>
  <si>
    <t>entrance</t>
  </si>
  <si>
    <t>H0873 = בִּאישׁ</t>
  </si>
  <si>
    <t>1) evil, bad, be evil</t>
  </si>
  <si>
    <t>bad</t>
  </si>
  <si>
    <t>H0874 = בָּאַר</t>
  </si>
  <si>
    <t>1) (Piel)    1a) to make plain, distinct    1b) to make clear    1c) to declare    1d) letters on a tablet</t>
  </si>
  <si>
    <t>to make plain</t>
  </si>
  <si>
    <t>pi.   to explain</t>
  </si>
  <si>
    <t>H0875 = בְּאֵר</t>
  </si>
  <si>
    <t>1) well, pit, spring</t>
  </si>
  <si>
    <t>well</t>
  </si>
  <si>
    <t>(1)   well, pit</t>
  </si>
  <si>
    <t>H0876 = בְּאֵר</t>
  </si>
  <si>
    <t>Beer = "well"    1) an oasis rest in desert during the Exodus    2) a city west of Hebron</t>
  </si>
  <si>
    <t>Beer</t>
  </si>
  <si>
    <t>(2a)   Beer; location along route of exodus; (2b)   Beer; location</t>
  </si>
  <si>
    <t>H0877 = בֹּאר</t>
  </si>
  <si>
    <t>1) cistern, pit, well</t>
  </si>
  <si>
    <t>cistern</t>
  </si>
  <si>
    <t>H0878 = בְּאֵרָא</t>
  </si>
  <si>
    <t>Beera = "a well"    1) a man of Asher</t>
  </si>
  <si>
    <t>Beera</t>
  </si>
  <si>
    <t>Bera; son of Zophah; tribe of Asher</t>
  </si>
  <si>
    <t>H0879 = בְּאֵר אֵילִים</t>
  </si>
  <si>
    <t>Beer-elim = "well of God"    1) a well in the south of Moab</t>
  </si>
  <si>
    <t>Beer-elim</t>
  </si>
  <si>
    <t>Beer-Elim; location; Moab</t>
  </si>
  <si>
    <t>H0880 = בְּאֵרָה</t>
  </si>
  <si>
    <t>Beerah = "well"    1) a Reubenite chief exiled to Assyria</t>
  </si>
  <si>
    <t>Beerah</t>
  </si>
  <si>
    <t>Beerah; son of Baal; tribe of Reuben</t>
  </si>
  <si>
    <t>H0881 = בְּאֵרוֹת</t>
  </si>
  <si>
    <t>Beeroth = "wells"    1) a Gibeonite city allotted to Benjamin</t>
  </si>
  <si>
    <t>Beeroth</t>
  </si>
  <si>
    <t>Beeroth; town; territory of Benjamin</t>
  </si>
  <si>
    <t>H0882 = בְּאֵרִי</t>
  </si>
  <si>
    <t>Beeri = "my well"    1) Esau's Hittite father-in-law    2) father of Hosea</t>
  </si>
  <si>
    <t>Beeri</t>
  </si>
  <si>
    <t>(a)   Beeri; father of Judith, wife of Esau; (b)   Beeri; father of prophet Hosea</t>
  </si>
  <si>
    <t>H0883 = בְּאֵר לַחַי רֹאִי</t>
  </si>
  <si>
    <t>Beer-lahai-roi = "well of the Living One seeing me"    1) a well west of Kadesh, south of Israel</t>
  </si>
  <si>
    <t>Beer-lahai-roi</t>
  </si>
  <si>
    <t>Beer-Lahai-Roi; location</t>
  </si>
  <si>
    <t>H0884 = בְּאֵר שֶׁ֫בַע</t>
  </si>
  <si>
    <t>Beer-sheba = "well of the sevenfold oath"    1) a city at the south edge of Israel</t>
  </si>
  <si>
    <t>Beer-sheba</t>
  </si>
  <si>
    <t>H0885 = בְּאֵרֹת בְּנֵי־יַעֲקָן</t>
  </si>
  <si>
    <t>Beeroth Bene-Jaakan or Beeroth = "wells" or "wells of the sons of Jaakan"    1) an encampment for Israel in the wilderness probably in the country of the Horites</t>
  </si>
  <si>
    <t>Beeroth-bene-jaakan</t>
  </si>
  <si>
    <t>Beeroth Benejaakan; location along route of exodus</t>
  </si>
  <si>
    <t>H0886 = בְּאֵרֹתִי</t>
  </si>
  <si>
    <t>Beerothite = "wells"    1) an inhabitant of Beeroth (in Benjamin)</t>
  </si>
  <si>
    <t>Beerothite</t>
  </si>
  <si>
    <t>of Beeroth; inhabitant of Beeroth, territory of Benjamin</t>
  </si>
  <si>
    <t>H0887 = בָּאַשׁ</t>
  </si>
  <si>
    <t>1) to have a bad smell, stink, smell bad    1a) (Qal) to stink, smell bad    1b) (Niphal)    1b1) to become odious    1b2) to make oneself odious    1c) (Hiphil)    1c1) to stink, emit a stinking odour    1c2) to cause to stink    1c3) of wickedness (fig.)    1d) (Hithpael) to make oneself odious    2) (TWOT) to abhor</t>
  </si>
  <si>
    <t>to stink</t>
  </si>
  <si>
    <t>(a) qal   to stink; (b) nif.   to become odious; (c) hitp.   to make oneself odious; (d) hif.   to grow stinking, to make odious</t>
  </si>
  <si>
    <t>H0888 = בְּאֵשׁ</t>
  </si>
  <si>
    <t>1) (P'al) to be evil, be bad, be displeasing</t>
  </si>
  <si>
    <t>be displeased</t>
  </si>
  <si>
    <t>H0889 = בְּאֹשׁ</t>
  </si>
  <si>
    <t>1) stench, foul odour</t>
  </si>
  <si>
    <t>stench</t>
  </si>
  <si>
    <t>H0890 = בׇּאְשָׁה</t>
  </si>
  <si>
    <t>1) stinking things, stinking or noxious weeds, stinkweed</t>
  </si>
  <si>
    <t>foul weed</t>
  </si>
  <si>
    <t>foul weeds</t>
  </si>
  <si>
    <t>H0891 = בְּאֻשִׁים</t>
  </si>
  <si>
    <t>1) stinking or worthless things, wild grapes, stinkberries</t>
  </si>
  <si>
    <t>sour grapes</t>
  </si>
  <si>
    <t>wild grape?</t>
  </si>
  <si>
    <t>H0892 = בָּבָה</t>
  </si>
  <si>
    <t>1) the apple (pupil) of the eye</t>
  </si>
  <si>
    <t>apple</t>
  </si>
  <si>
    <t>eyeball</t>
  </si>
  <si>
    <t>H0893 = בֵּבַי</t>
  </si>
  <si>
    <t>Bebai = "my cavities"    1) a leader of the returning exiles</t>
  </si>
  <si>
    <t>Bebai</t>
  </si>
  <si>
    <t>Bebai; family head; after exile</t>
  </si>
  <si>
    <t>H0894 = בָּבֶ֫ל</t>
  </si>
  <si>
    <t>Babel or Babylon = "confusion (by mixing)"    1) Babel or Babylon, the ancient site and/or capital of Babylonia (modern Hillah) situated on the Euphrates</t>
  </si>
  <si>
    <t>Babel</t>
  </si>
  <si>
    <t>Babel; town in Mesopotamia</t>
  </si>
  <si>
    <t>H0895 = בָּבֶל</t>
  </si>
  <si>
    <t>Babylon</t>
  </si>
  <si>
    <t>H0896 = בָּֽבְלַי</t>
  </si>
  <si>
    <t>Babylonian = "confusion (by mixing)"    1) Babylonian</t>
  </si>
  <si>
    <t>Babylonian</t>
  </si>
  <si>
    <t>Babilonian; inhabitant of Babylon</t>
  </si>
  <si>
    <t>H0897 = בַּג</t>
  </si>
  <si>
    <t>1) spoil, booty</t>
  </si>
  <si>
    <t>spoil</t>
  </si>
  <si>
    <t>H0898 = בָּגַד</t>
  </si>
  <si>
    <t>1) to act treacherously, deceitfully, deal treacherously    1a) (Qal) to act or deal treacherously, faithlessly, deceitfully, offend</t>
  </si>
  <si>
    <t>to act treacherously</t>
  </si>
  <si>
    <t>qal   to deal treacherously</t>
  </si>
  <si>
    <t>H0899a = בֶּ֫גֶד</t>
  </si>
  <si>
    <t>1) treachery, deceit</t>
  </si>
  <si>
    <t>treachery</t>
  </si>
  <si>
    <t>(a)   treachery</t>
  </si>
  <si>
    <t>H0899b = בֶּ֫גֶד</t>
  </si>
  <si>
    <t>1) (CLBL) garment, clothing (used indiscriminately)</t>
  </si>
  <si>
    <t>garment</t>
  </si>
  <si>
    <t>(b)   garment</t>
  </si>
  <si>
    <t>H0900 = בֹּגְדוֹת</t>
  </si>
  <si>
    <t>1) treacherous, treacherousness, men of treacherous behaviour</t>
  </si>
  <si>
    <t>H0901 = בָּגוֹד</t>
  </si>
  <si>
    <t>1) treacherous, deceitful</t>
  </si>
  <si>
    <t>treacherous</t>
  </si>
  <si>
    <t>H0902 = בִּגְוַי</t>
  </si>
  <si>
    <t>Bigvai = "in my bodies"    1) an exile who returned under Zerubbabel, perhaps the head of a family</t>
  </si>
  <si>
    <t>Bigvai</t>
  </si>
  <si>
    <t>Bigvai; family heads; after exile</t>
  </si>
  <si>
    <t>H0903 = בִּגְתָא</t>
  </si>
  <si>
    <t>Bigtha = "in the wine-press"    1) a eunuch in king Ahasuerus' (Xerxes) court</t>
  </si>
  <si>
    <t>Bigtha</t>
  </si>
  <si>
    <t>Bigtha; eunuch; servant of king Ahasuerus (Xerxes)</t>
  </si>
  <si>
    <t>H0904 = בִּגְתָן</t>
  </si>
  <si>
    <t>Bigthan = "in their wine-press"    1) a eunuch in king Ahasuerus' (Xerxes) court</t>
  </si>
  <si>
    <t>Bigthan</t>
  </si>
  <si>
    <t>Bigthan; eunuch; servant of Ahasuerus</t>
  </si>
  <si>
    <t>H0905 = בַּד</t>
  </si>
  <si>
    <t>1) alone, by itself, besides, a part, separation, being alone    1a) separation, alone, by itself    1a1) only (adv)    1a2) apart from, besides (prep)    1b) part    1c) parts (eg limbs, shoots), bars</t>
  </si>
  <si>
    <t>alone</t>
  </si>
  <si>
    <t>(e)   isolated, alone</t>
  </si>
  <si>
    <t>H0906 = בַּד</t>
  </si>
  <si>
    <t>1) linen, white linen</t>
  </si>
  <si>
    <t>linen</t>
  </si>
  <si>
    <t>(d)   linen, linen garments</t>
  </si>
  <si>
    <t>H0907 = בַּד</t>
  </si>
  <si>
    <t>1) empty talk, idle talk, liar, lie</t>
  </si>
  <si>
    <t>bluster</t>
  </si>
  <si>
    <t>(b)   gossip, idle talk</t>
  </si>
  <si>
    <t>H0908 = בָּדָא</t>
  </si>
  <si>
    <t>1) to devise, contrive, invent (bad sense)    1a) (Qal)    1a1) to devise    1a2) to contrive</t>
  </si>
  <si>
    <t>to devise</t>
  </si>
  <si>
    <t>qal   to invent, devise</t>
  </si>
  <si>
    <t>H0909 = בָּדַד</t>
  </si>
  <si>
    <t>1) to withdraw, be separate, be isolated    1a) (Qal) an army straggler (part.)    1a1) of Ephraim (metaph.)    2) (TWOT) alone</t>
  </si>
  <si>
    <t>be alone</t>
  </si>
  <si>
    <t>qal   to be alone, isolated</t>
  </si>
  <si>
    <t>H0910 = בָּדָד</t>
  </si>
  <si>
    <t>1) isolation, withdrawal, separation    1a) an isolated city    adv    2) alone    2a) security (fig.)</t>
  </si>
  <si>
    <t>isolation</t>
  </si>
  <si>
    <t>alone, isolated</t>
  </si>
  <si>
    <t>H0911 = בְּדַד</t>
  </si>
  <si>
    <t>Bedad = "solitary"    1) the father of an Edomite chief</t>
  </si>
  <si>
    <t>Bedad</t>
  </si>
  <si>
    <t>Bedad; father of Hadad; Edomite</t>
  </si>
  <si>
    <t>H0912 = בֵּֽדְיָה</t>
  </si>
  <si>
    <t>Bedeiah = "servant of Jehovah"    1) an Israelite exile who took a foreign woman</t>
  </si>
  <si>
    <t>Bedeiah</t>
  </si>
  <si>
    <t>Bediah; man; married foreign wife; after exile</t>
  </si>
  <si>
    <t>H0913 = בְּדִיל</t>
  </si>
  <si>
    <t>1) alloy, tin, dross    1a) of Israel (metaph.)</t>
  </si>
  <si>
    <t>tin</t>
  </si>
  <si>
    <t>tin \(melting) dross</t>
  </si>
  <si>
    <t>H0914 = בָּדַל</t>
  </si>
  <si>
    <t>1) to divide, separate    1a) (Hiphil)    1a1) to divide, separate, sever    1a2) to separate, set apart    1a3) to make a distinction, difference    1a4) to divide into parts    1b) (Niphal)    1b1) to separate oneself from (reflexive of 1a2)    1b2) to withdraw from    1b3) to separate oneself unto    1b4) to be separated    1b5) to be excluded    1b6) to be set apart</t>
  </si>
  <si>
    <t>to separate</t>
  </si>
  <si>
    <t>(a) nif.   to be separated, to be chosen out; (b) hif.   to separate, to select</t>
  </si>
  <si>
    <t>H0915 = בָּדָל</t>
  </si>
  <si>
    <t>1) a piece, severed piece, a piece (of an ear)</t>
  </si>
  <si>
    <t>corner, piece</t>
  </si>
  <si>
    <t>H0916 = בְּדֹ֫לַח</t>
  </si>
  <si>
    <t>1) bdellium (ie gum resin)</t>
  </si>
  <si>
    <t>bdellium</t>
  </si>
  <si>
    <t>bdellium gum</t>
  </si>
  <si>
    <t>H0917 = בְּדָן</t>
  </si>
  <si>
    <t>Bedan = "in judging"    1) a judge who followed Gideon    2) a Manassite</t>
  </si>
  <si>
    <t>Bedan</t>
  </si>
  <si>
    <t>(a)   Bedan; judge of Israel; (b)   Bedan; son of Ulam; tribe of Manasseh</t>
  </si>
  <si>
    <t>H0918 = בָּדַק</t>
  </si>
  <si>
    <t>1) (Qal) to mend, repair (a building)</t>
  </si>
  <si>
    <t>to repair</t>
  </si>
  <si>
    <t>qal   to repair</t>
  </si>
  <si>
    <t>H0919 = בֶּ֫דֶק</t>
  </si>
  <si>
    <t>1) fissure, rent, breach, leak (in a building)</t>
  </si>
  <si>
    <t>breach</t>
  </si>
  <si>
    <t>rupture, leak</t>
  </si>
  <si>
    <t>H0920 = בִּדְקַר</t>
  </si>
  <si>
    <t>Bidkar = "with a stab"    1) a captain of Jehu</t>
  </si>
  <si>
    <t>Bidkar</t>
  </si>
  <si>
    <t>Bidkar; chariot officer of Jehu</t>
  </si>
  <si>
    <t>H0921 = בְּדַר</t>
  </si>
  <si>
    <t>1) (Pael) to scatter</t>
  </si>
  <si>
    <t>to scatter</t>
  </si>
  <si>
    <t>H0922 = בֹּהוּ</t>
  </si>
  <si>
    <t>1) emptiness, void, waste</t>
  </si>
  <si>
    <t>void</t>
  </si>
  <si>
    <t>emptiness, wasteland</t>
  </si>
  <si>
    <t>H0923 = בַּ֫הַט</t>
  </si>
  <si>
    <t>1) a costly stone (perhaps porphyry), red marble</t>
  </si>
  <si>
    <t>porphyry</t>
  </si>
  <si>
    <t>unknown type of precious stone</t>
  </si>
  <si>
    <t>H0924 = בְּהִילוּ</t>
  </si>
  <si>
    <t>1) haste, hastily</t>
  </si>
  <si>
    <t>hastely</t>
  </si>
  <si>
    <t>(1a) nif.   to be hasty; (1b) pi.   to make haste; (1c) pu.   participle: being hastened, hastily gained; (1d) hif.   to remove hastily; (1e) hif.   to hurry to; (2a) nif.   to be disturbed, terrified; (2b) pi.   to dismay, to terrify; (2c) hif.   to dismay, to terrify</t>
  </si>
  <si>
    <t>H0925 = בָּהִיר</t>
  </si>
  <si>
    <t>1) bright, brilliant (of light)</t>
  </si>
  <si>
    <t>bright</t>
  </si>
  <si>
    <t>brilliant? dusky?</t>
  </si>
  <si>
    <t>H0926 = בָּהַל</t>
  </si>
  <si>
    <t>1) to disturb, alarm, terrify, hurry, be disturbed, be anxious, be afraid, be hurried, be nervous    1a) (Niphal)    1a1) to be disturbed, dismayed, terrified, anxious    1a2) to be in haste, be hasty    1b) (Piel)    1b1) to make haste, act hastily, be hurried, be hastened    1b2) to dismay, terrify    1c) (Pual)    1c1) to hasten    1c2) hastened, hastily gained (part.)    1d) (Hiphil)    1d1) to hasten, hurry, make haste    1d2) to dismay, terrify</t>
  </si>
  <si>
    <t>to dismay</t>
  </si>
  <si>
    <t>H0927 = בְּהַל</t>
  </si>
  <si>
    <t>1) (Pual) to frighten, alarm, dismay    2) (Ithpa'al) to hurry, hasten    3) (Ithpa'al) alarmed (part.)</t>
  </si>
  <si>
    <t>H0928 = בֶּֽהָלָה</t>
  </si>
  <si>
    <t>1) dismay, sudden terror or ruin, alarm</t>
  </si>
  <si>
    <t>dismay</t>
  </si>
  <si>
    <t>sudden terror</t>
  </si>
  <si>
    <t>H0929 = בְּהֵמָה</t>
  </si>
  <si>
    <t>1) beast, cattle, animal    1a) beasts (coll of all animals)    1b) cattle, livestock (of domestic animals)    1c) wild beasts</t>
  </si>
  <si>
    <t>animal</t>
  </si>
  <si>
    <t>cattle, animals</t>
  </si>
  <si>
    <t>H0930 = בְּהֵמוֹת</t>
  </si>
  <si>
    <t>1) perhaps an extinct dinosaur    1a) a Diplodocus or Brachiosaurus, exact meaning unknown</t>
  </si>
  <si>
    <t>Behemoth</t>
  </si>
  <si>
    <t>hippopotamus?</t>
  </si>
  <si>
    <t>H0931 = בֹּ֫הֶן</t>
  </si>
  <si>
    <t>1) thumb, great (big) toe (always used of both together)</t>
  </si>
  <si>
    <t>thumb|big toe</t>
  </si>
  <si>
    <t>thumb, big toe</t>
  </si>
  <si>
    <t>H0932 = בֹּ֫הַן</t>
  </si>
  <si>
    <t>Bohan = "thumb"    1) a Reubenite who set a boundary stone between Judah and Benjamin    2) (BDB) a mark of division between Judah and Benjamin</t>
  </si>
  <si>
    <t>Bohan</t>
  </si>
  <si>
    <t>Bohan; son of Reuben</t>
  </si>
  <si>
    <t>H0933 = בֹּ֫הַק</t>
  </si>
  <si>
    <t>1) a harmless eruption of the skin, skin spot</t>
  </si>
  <si>
    <t>spot</t>
  </si>
  <si>
    <t>skin disease; probably vitiligo or leucodermia</t>
  </si>
  <si>
    <t>H0934 = בַּהֶ֫רֶת</t>
  </si>
  <si>
    <t>1) white patch of skin, brightness, bright spot (on skin)    2) (CLBL) bright spot, scar, blister, boil    2a) resulting from fire    2b) resulting from inflammation of the skin    2c) possible sign of leprosy</t>
  </si>
  <si>
    <t>bright spot</t>
  </si>
  <si>
    <t>spot, blotch (on the skin)</t>
  </si>
  <si>
    <t>H0935 = בּוֹא</t>
  </si>
  <si>
    <t>1) to go in, enter, come, go, come in    1a) (Qal)    1a1) to enter, come in    1a2) to come    1a2a) to come with    1a2b) to come upon, fall or light upon, attack (enemy)    1a2c) to come to pass    1a3) to attain to    1a4) to be enumerated    1a5) to go    1b) (Hiphil)    1b1) to lead in    1b2) to carry in    1b3) to bring in, cause to come in, gather, cause to come, bring near, bring against, bring upon    1b4) to bring to pass    1c) (Hophal)    1c1) to be brought, brought in    1c2) to be introduced, be put</t>
  </si>
  <si>
    <t>to come (in)</t>
  </si>
  <si>
    <t>(a) qal   to come; (b) hif. (causative)   to bring; (c) hof. (passive of causative)   to be brought</t>
  </si>
  <si>
    <t>H0936 = בּוּז</t>
  </si>
  <si>
    <t>1) to despise, hold in contempt, hold as insignificant    1a) (Qal) to despise, show despite toward</t>
  </si>
  <si>
    <t>to despise</t>
  </si>
  <si>
    <t>qal   despise</t>
  </si>
  <si>
    <t>H0937 = בּוּז</t>
  </si>
  <si>
    <t>1) contempt    1a) springing from evil    1b) springing from prosperity    1c) springing from judgment</t>
  </si>
  <si>
    <t>contempt</t>
  </si>
  <si>
    <t>H0938 = בּוּז</t>
  </si>
  <si>
    <t>Buz = "contempt"    1) second son of Nahor, Abraham's nephew    2) a Gadite</t>
  </si>
  <si>
    <t>Buz</t>
  </si>
  <si>
    <t>(1)   contempt; (2a)   Buz; son of Nahor; (2b)   Buz; man; tribe of Gad</t>
  </si>
  <si>
    <t>H0939 = בּוּזָה</t>
  </si>
  <si>
    <t>1) contempt</t>
  </si>
  <si>
    <t>H0940 = בּוּזִי</t>
  </si>
  <si>
    <t>Buzite = "contempt"    1) one of the ancestors of Elihu</t>
  </si>
  <si>
    <t>Buzite</t>
  </si>
  <si>
    <t>(a)   Buzite; descendant of Buz; (b)   Buzite; father of prophet Ezekiel</t>
  </si>
  <si>
    <t>H0941 = בּוּזִי</t>
  </si>
  <si>
    <t>Buzi = "my contempt"    1) father of Ezekiel (or ancestor)</t>
  </si>
  <si>
    <t>Buzi</t>
  </si>
  <si>
    <t>H0942 = בַּוַּי</t>
  </si>
  <si>
    <t>Bavai = "my goings"    1) a rebuilder of Jerusalem's walls in Nehemiah's time</t>
  </si>
  <si>
    <t>Bavvai</t>
  </si>
  <si>
    <t>Bavvai; son of Henadad; after exile</t>
  </si>
  <si>
    <t>H0943 = בּוּךְ</t>
  </si>
  <si>
    <t>1) to perplex, confuse, be confused    1a) (Niphal) to be confused, be in confusion</t>
  </si>
  <si>
    <t>to perplex</t>
  </si>
  <si>
    <t>nif.   to be in confusion; to wander in confusion</t>
  </si>
  <si>
    <t>H0944 = בּוּל</t>
  </si>
  <si>
    <t>1) produce, outgrowth</t>
  </si>
  <si>
    <t>produce</t>
  </si>
  <si>
    <t>H0945 = בּוּל</t>
  </si>
  <si>
    <t>Bul = "increase: produce"    1) the eighth Hebrew month, corresponding to modern Oct-Nov (Nov-Dec)</t>
  </si>
  <si>
    <t>Bul</t>
  </si>
  <si>
    <t>(a)   dry wood; (b)   name of month; pre-exilic; October/November</t>
  </si>
  <si>
    <t>H0946 = בּוּנָה</t>
  </si>
  <si>
    <t>Bunah = "intelligence"    1) a son of Jerahmeel, a Judahite</t>
  </si>
  <si>
    <t>Bunah</t>
  </si>
  <si>
    <t>Bunah; son of Jerahmeel; tribe of Judah</t>
  </si>
  <si>
    <t>H0947 = בּוּס</t>
  </si>
  <si>
    <t>1) to tread down, reject, trample down    1a) (Qal)    1a1) to tread down, trample (of warriors)    1a2) of rejection (fig.)    1b) (Polel)    1b1) to tread down (in bad sense)    1b2) to desecrate    1c) (Hithpolel)    1c1) to tread    1c2) to kick out    1c2a) of infants' blind movements    1c2b) of Jerusalem (fig.)    1d) (Hophal) to be trodden down</t>
  </si>
  <si>
    <t>to trample</t>
  </si>
  <si>
    <t>(a) qal   to tread down; (b) pi.   to read down, to desecrate; (c) hitp.   to fidget, to kick out; (d) hof.   to be trodden down</t>
  </si>
  <si>
    <t>H0948 = בּוּץ</t>
  </si>
  <si>
    <t>1) byssus, a costly, fine white linen cloth made in Egypt</t>
  </si>
  <si>
    <t>byssus</t>
  </si>
  <si>
    <t>H0949 = בּוֹצֵץ</t>
  </si>
  <si>
    <t>Bozez = "surpassing white: glistening"    1) a rock formation near Michmash by which Jonathan approached the Philistine troop</t>
  </si>
  <si>
    <t>Bozez</t>
  </si>
  <si>
    <t>Bozez; rocky crag</t>
  </si>
  <si>
    <t>H0950 = בּוּקָה</t>
  </si>
  <si>
    <t>1) emptiness</t>
  </si>
  <si>
    <t>emptiness</t>
  </si>
  <si>
    <t>H0951 = בּוֹקֵר</t>
  </si>
  <si>
    <t>1) herdsman</t>
  </si>
  <si>
    <t>herdsman</t>
  </si>
  <si>
    <t>H0952 = בּוּר</t>
  </si>
  <si>
    <t>1) (Qal)    1a) to make clear, clear up, explain, prove    1b) (CLBL) to bore into    1c) (TWOT) to declare (?)</t>
  </si>
  <si>
    <t>to explain</t>
  </si>
  <si>
    <t>H0953a = בּוֹר</t>
  </si>
  <si>
    <t>1) pit, well, cistern, dungeon, pit of the grave</t>
  </si>
  <si>
    <t>pit</t>
  </si>
  <si>
    <t>(a)   pit, cistern; (b)   grave, location of the dead</t>
  </si>
  <si>
    <t>H0953b = בּוֹר</t>
  </si>
  <si>
    <t>1) cistern of Sirah</t>
  </si>
  <si>
    <t>H0954 = בּוֹשׁ</t>
  </si>
  <si>
    <t>1) to put to shame, be ashamed, be disconcerted, be disappointed    1a) (Qal)    1a1) to feel shame    1a2) to be ashamed, disconcerted, disappointed (by reason of)    1b) (Piel) to delay (in shame)    1c) (Hiphil)    1c1) to put to shame    1c2) to act shamefully    1c3) to be ashamed    1d) (Hithpolel) to be ashamed before one another</t>
  </si>
  <si>
    <t>be ashamed</t>
  </si>
  <si>
    <t>(1a) qal   to be ashamed; (1b) hitp.   to appear being ashamed; (1c) hif.   to be ashamed; to put to shame, to act shamefully; (2) pilel   to delay</t>
  </si>
  <si>
    <t>H0955 = בּוּשָׁה</t>
  </si>
  <si>
    <t>1) shame</t>
  </si>
  <si>
    <t>shame</t>
  </si>
  <si>
    <t>H0956 = בִּית</t>
  </si>
  <si>
    <t>1) (P'al) to pass the night, lodge</t>
  </si>
  <si>
    <t>to pass the night</t>
  </si>
  <si>
    <t>H0957 = בַּז</t>
  </si>
  <si>
    <t>1) spoil, booty, robbery, spoiling</t>
  </si>
  <si>
    <t>plunder</t>
  </si>
  <si>
    <t>spoiling, spoil</t>
  </si>
  <si>
    <t>H0958 = בָּזָא</t>
  </si>
  <si>
    <t>1) (Qal) to divide, cleave, cut through</t>
  </si>
  <si>
    <t>to divide</t>
  </si>
  <si>
    <t>qal   to wash away</t>
  </si>
  <si>
    <t>H0959 = בָּזָה</t>
  </si>
  <si>
    <t>1) to despise, hold in contempt, disdain    1a) (Qal) to despise, regard with contempt    1b) (Niphal)    1b1) to be despised    1b2) to be despicable    1b3) to be vile, worthless    1c) (Hiphil) to cause to despise</t>
  </si>
  <si>
    <t>qal   to despise\nif. (passive) ; hif. (causative)</t>
  </si>
  <si>
    <t>H0960 = בָּזֹה</t>
  </si>
  <si>
    <t>1) scorned, despised</t>
  </si>
  <si>
    <t>H0961 = בִּזָּה</t>
  </si>
  <si>
    <t>spoil, booty</t>
  </si>
  <si>
    <t>H0962 = בָּזַז</t>
  </si>
  <si>
    <t>1) to spoil, plunder, prey upon, seize    1a) (Qal) to spoil, plunder, despoil    1b) (Niphal) to be spoiled, plundered    1c) (Pual) to be taken as spoil</t>
  </si>
  <si>
    <t>to plunder</t>
  </si>
  <si>
    <t>qal   to spoil, to take as spoil\nif. (passive) ; pu. (passive)</t>
  </si>
  <si>
    <t>H0963 = בִּזָּיוֹן</t>
  </si>
  <si>
    <t>H0964 = בִּזְיוֹתְיָה</t>
  </si>
  <si>
    <t>Bizjothjah = "contempt of Jehovah"    1) a town in southern Judah near Beersheba</t>
  </si>
  <si>
    <t>Biziothiah</t>
  </si>
  <si>
    <t>Biziothiah; town; territory of Judah (south)</t>
  </si>
  <si>
    <t>H0965 = בָּזָק</t>
  </si>
  <si>
    <t>1) lightning, lightning flash</t>
  </si>
  <si>
    <t>lightning</t>
  </si>
  <si>
    <t>H0966 = בֶּ֫זֶק</t>
  </si>
  <si>
    <t>Bezek = "lightning"    1) the home of Adonibezek, the place where Israel rallied under Saul</t>
  </si>
  <si>
    <t>Bezek</t>
  </si>
  <si>
    <t>Bezek; town; territory of Manasseh</t>
  </si>
  <si>
    <t>H0967 = בָּזַר</t>
  </si>
  <si>
    <t>1) to scatter, disperse    1a) (Qal) to scatter    1b) (Piel) to scatter</t>
  </si>
  <si>
    <t>(a) qal   to scatter; (b) pi.   to scatter</t>
  </si>
  <si>
    <t>H0968 = בִּזְּתָא</t>
  </si>
  <si>
    <t>Biztha = "booty"    1) one of Ahasuerus' (Xerxes') eunuchs</t>
  </si>
  <si>
    <t>Biztha</t>
  </si>
  <si>
    <t>Biztha; eunuch; servant of king Ahasuerus (Xerxes)</t>
  </si>
  <si>
    <t>H0969 = בָּחוֹן</t>
  </si>
  <si>
    <t>1) assayer (an inspector and valuer of metals)</t>
  </si>
  <si>
    <t>assayer</t>
  </si>
  <si>
    <t>siege tower \tester</t>
  </si>
  <si>
    <t>H0970 = בָּחוּר</t>
  </si>
  <si>
    <t>1) youth, young man</t>
  </si>
  <si>
    <t>youth</t>
  </si>
  <si>
    <t>young man</t>
  </si>
  <si>
    <t>H0971 = בַחוּן</t>
  </si>
  <si>
    <t>1) siege-towers, watchtower</t>
  </si>
  <si>
    <t>tower</t>
  </si>
  <si>
    <t>H0972 = בָּחִיר</t>
  </si>
  <si>
    <t>1) chosen, choice one, chosen one, elect (of God)</t>
  </si>
  <si>
    <t>chosen</t>
  </si>
  <si>
    <t>chosen, elect</t>
  </si>
  <si>
    <t>H0973a = בָּחֵל</t>
  </si>
  <si>
    <t>1) to loathe, abhor, feel loathing</t>
  </si>
  <si>
    <t>to loath</t>
  </si>
  <si>
    <t>(a) qal   to detest, loathe</t>
  </si>
  <si>
    <t>H0973b = בָּחֵל</t>
  </si>
  <si>
    <t>1) to gain by greed    1a) (Qal) to gain by greed, gain hastily    1b) (Pual) obtained by greed</t>
  </si>
  <si>
    <t>be greedy</t>
  </si>
  <si>
    <t>H0974 = בָּחַן</t>
  </si>
  <si>
    <t>1) to examine, try, prove    1a) (Qal)    1a1) to examine, scrutinise    1a2) to test, prove, try (of gold, persons, the heart, man of God)    1b) (Niphal) to be tried, proved    1c) (Pual) to make a trial</t>
  </si>
  <si>
    <t>to test</t>
  </si>
  <si>
    <t>(a)   testing, probation; (b)   tested (stone)</t>
  </si>
  <si>
    <t>H0975 = בַּ֫חַן</t>
  </si>
  <si>
    <t>1) watchtower</t>
  </si>
  <si>
    <t>watchtower</t>
  </si>
  <si>
    <t>meaning unsure; possibly watch-tower</t>
  </si>
  <si>
    <t>H0976 = בֹּ֫חַן</t>
  </si>
  <si>
    <t>1) testing, tested, tried</t>
  </si>
  <si>
    <t>testing</t>
  </si>
  <si>
    <t>qal   to examine, to try\nif. (passive)</t>
  </si>
  <si>
    <t>H0977 = בָּחַר</t>
  </si>
  <si>
    <t>1) to choose, elect, decide for    1a) (Qal) to choose    1b) (Niphal) to be chosen    1c) (Pual) to be chosen, selected</t>
  </si>
  <si>
    <t>to choose</t>
  </si>
  <si>
    <t>(a) qal   to examine; (b) qal   to choose; (c) qal   passive participle: elected, chosen; (d) nif.   to be elected, preferred; (e) nif.   to be examined; (f) pu.   to be chosen</t>
  </si>
  <si>
    <t>H0978 = בַּחֲרוּמִי</t>
  </si>
  <si>
    <t>Baharumite = "choice youths"    1) an inhabitant or descendant of Bahurim</t>
  </si>
  <si>
    <t>Baharumite</t>
  </si>
  <si>
    <t>Baharum; inhabitant of Bahurim</t>
  </si>
  <si>
    <t>H0979 = בְּחוּרִים</t>
  </si>
  <si>
    <t>1) youth</t>
  </si>
  <si>
    <t>youth, youthful age</t>
  </si>
  <si>
    <t>H0980 = בַּחֻרִים</t>
  </si>
  <si>
    <t>Bahurim = "young men's village"    1) a town in Benjamin between Jerusalem and Jericho beyond the Mount of Olives on the way to Jericho</t>
  </si>
  <si>
    <t>Bahurim</t>
  </si>
  <si>
    <t>Bahurim; location; east of the Mount of Olives</t>
  </si>
  <si>
    <t>H0981 = בָּטָה</t>
  </si>
  <si>
    <t>1) to speak rashly or angrily, speak thoughtlessly    1a) (Qal) one that babbles, speaks rashly (part.)    1b) (Piel) to speak rashly, unadvisedly</t>
  </si>
  <si>
    <t>to speak rashly</t>
  </si>
  <si>
    <t>(a) qal   to speak rashly; (b) pi.   to speak rashly</t>
  </si>
  <si>
    <t>H0982 = בָּטַח</t>
  </si>
  <si>
    <t>1) to trust    1a) (Qal)    1a1) to trust, trust in    1a2) to have confidence, be confident    1a3) to be bold    1a4) to be secure    1b) (Hiphil)    1b1) to cause to trust, make secure    2) (TWOT) to feel safe, be careless</t>
  </si>
  <si>
    <t>qal   to lean on, to trust\hif. (causative)</t>
  </si>
  <si>
    <t>H0983 = בֶּ֫טַח</t>
  </si>
  <si>
    <t>1) security, safety    adv    2) securely</t>
  </si>
  <si>
    <t>security</t>
  </si>
  <si>
    <t>(1)   security, securely</t>
  </si>
  <si>
    <t>H0984 = בֶּ֫טַח</t>
  </si>
  <si>
    <t>Betah = "security"    1) the capital of Zobah during the reign of Hadadezer</t>
  </si>
  <si>
    <t>Betah</t>
  </si>
  <si>
    <t>(2)   Betah; town; Zobah</t>
  </si>
  <si>
    <t>H0985 = בִּטְחָה</t>
  </si>
  <si>
    <t>1) trust, trusting, confidence</t>
  </si>
  <si>
    <t>trust</t>
  </si>
  <si>
    <t>confidence</t>
  </si>
  <si>
    <t>H0986 = בִּטָּחוֹן</t>
  </si>
  <si>
    <t>1) trust, confidence, hope</t>
  </si>
  <si>
    <t>H0987 = בַּטֻּחוֹת</t>
  </si>
  <si>
    <t>1) security, safety</t>
  </si>
  <si>
    <t>safety</t>
  </si>
  <si>
    <t>H0988 = בָּטַל</t>
  </si>
  <si>
    <t>1) to cease    1a) (Qal) to cease</t>
  </si>
  <si>
    <t>to cease</t>
  </si>
  <si>
    <t>qal   to cease working</t>
  </si>
  <si>
    <t>H0989 = בְּטֵל</t>
  </si>
  <si>
    <t>1) (P'al) to cease    1a) to cease    1b) to make to cease</t>
  </si>
  <si>
    <t>H0990 = בֶּ֫טֶן</t>
  </si>
  <si>
    <t>1) belly, womb, body    1a) belly, abdomen    1a1) as seat of hunger    1a2) as seat of mental faculties    1a3) of depth of Sheol (fig.)    1b) womb</t>
  </si>
  <si>
    <t>belly</t>
  </si>
  <si>
    <t>(1a)   architectural term; (1b)   belly, mother's womb; (2)   Beten; town; territory of Asher</t>
  </si>
  <si>
    <t>H0991 = בֶּ֫טֶן</t>
  </si>
  <si>
    <t>Beten = "womb"    1) a city in Asher</t>
  </si>
  <si>
    <t>Beten</t>
  </si>
  <si>
    <t>H0992 = בָּטְנִים</t>
  </si>
  <si>
    <t>1) pistachio nuts-delicacy given to Joseph by Jacob through his sons</t>
  </si>
  <si>
    <t>pistachio</t>
  </si>
  <si>
    <t>pistachio nut</t>
  </si>
  <si>
    <t>H0993 = בְּטֹנִים</t>
  </si>
  <si>
    <t>Betonim = "pistachio nuts"    1) a city east of the Jordan in territory of Gad</t>
  </si>
  <si>
    <t>Betonim</t>
  </si>
  <si>
    <t>Betonim; town; territory of Gad</t>
  </si>
  <si>
    <t>H0994 = בִּי</t>
  </si>
  <si>
    <t>1) if it please, pray excuse me, excuse me please    1a) used to introduce an entreaty or request</t>
  </si>
  <si>
    <t>please</t>
  </si>
  <si>
    <t>formula for starting a conversation</t>
  </si>
  <si>
    <t>H0995 = בִּין</t>
  </si>
  <si>
    <t>1) to discern, understand, consider    1a) (Qal)    1a1) to perceive, discern    1a2) to understand, know (with the mind)    1a3) to observe, mark, give heed to, distinguish, consider    1a4) to have discernment, insight, understanding    1b) (Niphal) to be discerning, intelligent, discreet, have understanding    1c) (Hiphil)    1c1) to understand    1c2) to cause to understand, give understanding, teach    1d) (Hithpolel) to show oneself discerning or attentive, consider diligently    1e) (Polel) to teach, instruct    2) (TWOT) prudent, regard</t>
  </si>
  <si>
    <t>to understand</t>
  </si>
  <si>
    <t>(a) qal   to perceive, to notice, to consider, to understand; (b) nif.   to be discerning; (c) pil.   to take care of; (d) hitpol.   to pay attention, to understand; (e) hif.   to consider, to understand; (f)   to explain, to instruct</t>
  </si>
  <si>
    <t>H0996 = בַּ֫יִן</t>
  </si>
  <si>
    <t>1) between, among, in the midst of (with other preps), from between</t>
  </si>
  <si>
    <t>between</t>
  </si>
  <si>
    <t>(a)   interval, distance; (b)   between</t>
  </si>
  <si>
    <t>H0997 = בֵּין</t>
  </si>
  <si>
    <t>1) between</t>
  </si>
  <si>
    <t>H0998 = בִּינָה</t>
  </si>
  <si>
    <t>1) understanding, discernment    1a) act    1b) faculty    1c) object    1d) personified</t>
  </si>
  <si>
    <t>understanding</t>
  </si>
  <si>
    <t>understanding, skill</t>
  </si>
  <si>
    <t>H0999 = בִּינָה</t>
  </si>
  <si>
    <t>1) understanding, discernment</t>
  </si>
</sst>
</file>

<file path=xl/styles.xml><?xml version="1.0" encoding="utf-8"?>
<styleSheet xmlns="http://schemas.openxmlformats.org/spreadsheetml/2006/main" xmlns:x14ac="http://schemas.microsoft.com/office/spreadsheetml/2009/9/ac" xmlns:mc="http://schemas.openxmlformats.org/markup-compatibility/2006">
  <fonts count="7">
    <font>
      <sz val="10.0"/>
      <color rgb="FF000000"/>
      <name val="Arial"/>
      <scheme val="minor"/>
    </font>
    <font>
      <sz val="10.0"/>
      <color theme="1"/>
      <name val="Arial"/>
    </font>
    <font>
      <sz val="10.0"/>
      <color rgb="FF5D5D5D"/>
      <name val="Arial"/>
    </font>
    <font>
      <sz val="10.0"/>
      <color rgb="FF5D5D5D"/>
      <name val="Oi"/>
    </font>
    <font>
      <sz val="10.0"/>
      <color rgb="FF000000"/>
      <name val="Arial"/>
    </font>
    <font>
      <sz val="14.0"/>
      <color rgb="FF5D5D5D"/>
      <name val="Arial"/>
    </font>
    <font>
      <color theme="1"/>
      <name val="Arial"/>
      <scheme val="minor"/>
    </font>
  </fonts>
  <fills count="4">
    <fill>
      <patternFill patternType="none"/>
    </fill>
    <fill>
      <patternFill patternType="lightGray"/>
    </fill>
    <fill>
      <patternFill patternType="solid">
        <fgColor rgb="FFFFFFFF"/>
        <bgColor rgb="FFFFFFFF"/>
      </patternFill>
    </fill>
    <fill>
      <patternFill patternType="solid">
        <fgColor rgb="FFC9DAF8"/>
        <bgColor rgb="FFC9DAF8"/>
      </patternFill>
    </fill>
  </fills>
  <borders count="2">
    <border/>
    <border>
      <left/>
      <right/>
      <top/>
      <bottom/>
    </border>
  </borders>
  <cellStyleXfs count="1">
    <xf borderId="0" fillId="0" fontId="0" numFmtId="0" applyAlignment="1" applyFont="1"/>
  </cellStyleXfs>
  <cellXfs count="9">
    <xf borderId="0" fillId="0" fontId="0" numFmtId="0" xfId="0" applyAlignment="1" applyFont="1">
      <alignment readingOrder="0" shrinkToFit="0" vertical="bottom" wrapText="0"/>
    </xf>
    <xf borderId="0" fillId="0" fontId="1" numFmtId="0" xfId="0" applyAlignment="1" applyFont="1">
      <alignment readingOrder="0"/>
    </xf>
    <xf borderId="0" fillId="0" fontId="1" numFmtId="0" xfId="0" applyFont="1"/>
    <xf borderId="0" fillId="0" fontId="1" numFmtId="0" xfId="0" applyAlignment="1" applyFont="1">
      <alignment horizontal="right" readingOrder="2"/>
    </xf>
    <xf borderId="1" fillId="2" fontId="2" numFmtId="0" xfId="0" applyAlignment="1" applyBorder="1" applyFill="1" applyFont="1">
      <alignment horizontal="right"/>
    </xf>
    <xf borderId="1" fillId="2" fontId="3" numFmtId="0" xfId="0" applyAlignment="1" applyBorder="1" applyFont="1">
      <alignment horizontal="right"/>
    </xf>
    <xf borderId="1" fillId="3" fontId="4" numFmtId="0" xfId="0" applyAlignment="1" applyBorder="1" applyFill="1" applyFont="1">
      <alignment horizontal="right"/>
    </xf>
    <xf borderId="1" fillId="2" fontId="5" numFmtId="0" xfId="0" applyAlignment="1" applyBorder="1" applyFont="1">
      <alignment horizontal="right"/>
    </xf>
    <xf borderId="0" fillId="0" fontId="6" numFmtId="0" xfId="0" applyFont="1"/>
  </cellXfs>
  <cellStyles count="1">
    <cellStyle xfId="0" name="Normal" builtinId="0"/>
  </cellStyles>
  <dxfs count="3">
    <dxf>
      <font>
        <b/>
        <color rgb="FF0000FF"/>
      </font>
      <fill>
        <patternFill patternType="none"/>
      </fill>
      <border/>
    </dxf>
    <dxf>
      <font>
        <color rgb="FF000000"/>
      </font>
      <fill>
        <patternFill patternType="solid">
          <fgColor rgb="FFC9DAF8"/>
          <bgColor rgb="FFC9DAF8"/>
        </patternFill>
      </fill>
      <border/>
    </dxf>
    <dxf>
      <font/>
      <fill>
        <patternFill patternType="solid">
          <fgColor rgb="FFFFF2CC"/>
          <bgColor rgb="FFFFF2CC"/>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outlinePr summaryBelow="0" summaryRight="0"/>
    <pageSetUpPr/>
  </sheetPr>
  <sheetViews>
    <sheetView workbookViewId="0"/>
  </sheetViews>
  <sheetFormatPr customHeight="1" defaultColWidth="12.63" defaultRowHeight="15.0"/>
  <cols>
    <col customWidth="1" min="1" max="1" width="23.25"/>
    <col customWidth="1" min="2" max="2" width="24.5"/>
    <col customWidth="1" min="3" max="3" width="69.63"/>
  </cols>
  <sheetData>
    <row r="1" ht="15.75" customHeight="1">
      <c r="A1" s="1" t="s">
        <v>0</v>
      </c>
      <c r="B1" s="2" t="s">
        <v>1</v>
      </c>
      <c r="C1" s="2"/>
    </row>
    <row r="2" ht="15.75" customHeight="1">
      <c r="B2" s="2" t="s">
        <v>2</v>
      </c>
      <c r="C2" s="2" t="s">
        <v>3</v>
      </c>
    </row>
    <row r="3" ht="15.75" customHeight="1">
      <c r="A3" s="2" t="s">
        <v>4</v>
      </c>
      <c r="B3" s="3" t="str">
        <f>IFERROR(__xludf.DUMMYFUNCTION("CONCAT(""&lt;"",GOOGLETRANSLATE(B2,""en"",""ar""))"),"&lt;أب")</f>
        <v>&lt;أب</v>
      </c>
      <c r="C3" s="3" t="str">
        <f>IFERROR(__xludf.DUMMYFUNCTION("CONCAT(""&lt;"",GOOGLETRANSLATE(C2,""en"",""ar""))"),"&lt;الأب ، الجد ، الجد ، مؤلف ، صانع أي شيء ، مصطلح الاحترام والشرف كمعلم أو مدرس ، مستشار")</f>
        <v>&lt;الأب ، الجد ، الجد ، مؤلف ، صانع أي شيء ، مصطلح الاحترام والشرف كمعلم أو مدرس ، مستشار</v>
      </c>
    </row>
    <row r="4" ht="15.75" customHeight="1">
      <c r="A4" s="1" t="s">
        <v>5</v>
      </c>
      <c r="B4" s="2" t="s">
        <v>6</v>
      </c>
      <c r="C4" s="2"/>
    </row>
    <row r="5" ht="15.75" customHeight="1">
      <c r="B5" s="2" t="s">
        <v>2</v>
      </c>
      <c r="C5" s="2" t="s">
        <v>7</v>
      </c>
    </row>
    <row r="6" ht="15.75" customHeight="1">
      <c r="A6" s="2" t="s">
        <v>4</v>
      </c>
      <c r="B6" s="2" t="str">
        <f>IFERROR(__xludf.DUMMYFUNCTION("CONCAT(""&lt;"",GOOGLETRANSLATE(B5,""en"",""ar""))"),"&lt;أب")</f>
        <v>&lt;أب</v>
      </c>
      <c r="C6" s="2" t="str">
        <f>IFERROR(__xludf.DUMMYFUNCTION("CONCAT(""&lt;"",GOOGLETRANSLATE(C5,""en"",""ar""))"),"&lt;الأب ، الأجداد ، الجد")</f>
        <v>&lt;الأب ، الأجداد ، الجد</v>
      </c>
    </row>
    <row r="7" ht="15.75" customHeight="1">
      <c r="A7" s="1" t="s">
        <v>8</v>
      </c>
      <c r="B7" s="2" t="s">
        <v>9</v>
      </c>
      <c r="C7" s="2"/>
    </row>
    <row r="8" ht="15.75" customHeight="1">
      <c r="B8" s="2" t="s">
        <v>10</v>
      </c>
      <c r="C8" s="2" t="s">
        <v>11</v>
      </c>
    </row>
    <row r="9" ht="15.75" customHeight="1">
      <c r="A9" s="2" t="s">
        <v>4</v>
      </c>
      <c r="B9" s="2" t="str">
        <f>IFERROR(__xludf.DUMMYFUNCTION("CONCAT(""&lt;"",GOOGLETRANSLATE(B8,""en"",""ar""))"),"&lt;الخضرة")</f>
        <v>&lt;الخضرة</v>
      </c>
      <c r="C9" s="2" t="str">
        <f>IFERROR(__xludf.DUMMYFUNCTION("CONCAT(""&lt;"",GOOGLETRANSLATE(C8,""en"",""ar""))"),"&lt;الخضرة أو الفاكهة والأعشاب الخضراء أو النباتات")</f>
        <v>&lt;الخضرة أو الفاكهة والأعشاب الخضراء أو النباتات</v>
      </c>
    </row>
    <row r="10" ht="15.75" customHeight="1">
      <c r="A10" s="1" t="s">
        <v>12</v>
      </c>
      <c r="B10" s="2" t="s">
        <v>13</v>
      </c>
      <c r="C10" s="2"/>
    </row>
    <row r="11" ht="15.75" customHeight="1">
      <c r="B11" s="2" t="s">
        <v>14</v>
      </c>
      <c r="C11" s="2" t="s">
        <v>11</v>
      </c>
    </row>
    <row r="12" ht="15.75" customHeight="1">
      <c r="A12" s="2" t="s">
        <v>4</v>
      </c>
      <c r="B12" s="4" t="str">
        <f>IFERROR(__xludf.DUMMYFUNCTION("CONCAT(""&lt;"",GOOGLETRANSLATE(B11,""en"",""ar""))"),"&lt;فاكهة")</f>
        <v>&lt;فاكهة</v>
      </c>
      <c r="C12" s="2" t="str">
        <f>IFERROR(__xludf.DUMMYFUNCTION("CONCAT(""&lt;"",GOOGLETRANSLATE(C11,""en"",""ar""))"),"&lt;الخضرة أو الفاكهة والأعشاب الخضراء أو النباتات")</f>
        <v>&lt;الخضرة أو الفاكهة والأعشاب الخضراء أو النباتات</v>
      </c>
    </row>
    <row r="13" ht="15.75" customHeight="1">
      <c r="A13" s="1" t="s">
        <v>15</v>
      </c>
      <c r="B13" s="2" t="s">
        <v>16</v>
      </c>
      <c r="C13" s="2"/>
    </row>
    <row r="14" ht="15.75" customHeight="1">
      <c r="B14" s="2" t="s">
        <v>17</v>
      </c>
      <c r="C14" s="2" t="s">
        <v>18</v>
      </c>
    </row>
    <row r="15" ht="15.75" customHeight="1">
      <c r="A15" s="2" t="s">
        <v>4</v>
      </c>
      <c r="B15" s="5" t="str">
        <f>IFERROR(__xludf.DUMMYFUNCTION("CONCAT(""&lt;"",GOOGLETRANSLATE(B14,""en"",""ar""))"),"&lt;أباجثا")</f>
        <v>&lt;أباجثا</v>
      </c>
      <c r="C15" s="4" t="str">
        <f>IFERROR(__xludf.DUMMYFUNCTION("CONCAT(""&lt;"",GOOGLETRANSLATE(C14,""en"",""ar""))"),"&lt;abagtha = ""والد الحظ ، الذي قدمه الحظ"" الخصي ؛ خادم الملك أهاسويروس (زيركسيس)")</f>
        <v>&lt;abagtha = "والد الحظ ، الذي قدمه الحظ" الخصي ؛ خادم الملك أهاسويروس (زيركسيس)</v>
      </c>
    </row>
    <row r="16" ht="15.75" customHeight="1">
      <c r="A16" s="1" t="s">
        <v>19</v>
      </c>
      <c r="B16" s="2" t="s">
        <v>20</v>
      </c>
      <c r="C16" s="2"/>
    </row>
    <row r="17" ht="15.75" customHeight="1">
      <c r="B17" s="2" t="s">
        <v>21</v>
      </c>
      <c r="C17" s="2" t="s">
        <v>22</v>
      </c>
    </row>
    <row r="18" ht="15.75" customHeight="1">
      <c r="A18" s="2" t="s">
        <v>4</v>
      </c>
      <c r="B18" s="2" t="str">
        <f>IFERROR(__xludf.DUMMYFUNCTION("CONCAT(""&lt;"",GOOGLETRANSLATE(B17,""en"",""ar""))"),"&lt;أن يهلك")</f>
        <v>&lt;أن يهلك</v>
      </c>
      <c r="C18" s="2" t="str">
        <f>IFERROR(__xludf.DUMMYFUNCTION("CONCAT(""&lt;"",GOOGLETRANSLATE(C17,""en"",""ar""))"),"&lt;(1) QAL للتجول ، الضالة ، تضيع ؛ (2A) QAL للتهمة ؛ (2 ب) بي. لتدمير؛ (2C) HIF. لتدمير")</f>
        <v>&lt;(1) QAL للتجول ، الضالة ، تضيع ؛ (2A) QAL للتهمة ؛ (2 ب) بي. لتدمير؛ (2C) HIF. لتدمير</v>
      </c>
    </row>
    <row r="19" ht="15.75" customHeight="1">
      <c r="A19" s="1" t="s">
        <v>23</v>
      </c>
      <c r="B19" s="2" t="s">
        <v>24</v>
      </c>
      <c r="C19" s="2"/>
    </row>
    <row r="20" ht="15.75" customHeight="1">
      <c r="B20" s="2" t="s">
        <v>25</v>
      </c>
      <c r="C20" s="2" t="s">
        <v>22</v>
      </c>
    </row>
    <row r="21" ht="15.75" customHeight="1">
      <c r="A21" s="2" t="s">
        <v>4</v>
      </c>
      <c r="B21" s="2" t="str">
        <f>IFERROR(__xludf.DUMMYFUNCTION("CONCAT(""&lt;"",GOOGLETRANSLATE(B20,""en"",""ar""))"),"&lt;لتدمير")</f>
        <v>&lt;لتدمير</v>
      </c>
      <c r="C21" s="6" t="str">
        <f>IFERROR(__xludf.DUMMYFUNCTION("CONCAT(""&lt;"",GOOGLETRANSLATE(C20,""en"",""ar""))"),"&lt;(1) QAL للتجول ، الضالة ، تضيع ؛ (2A) QAL للتهمة ؛ (2 ب) بي. لتدمير؛ (2C) HIF. لتدمير")</f>
        <v>&lt;(1) QAL للتجول ، الضالة ، تضيع ؛ (2A) QAL للتهمة ؛ (2 ب) بي. لتدمير؛ (2C) HIF. لتدمير</v>
      </c>
    </row>
    <row r="22" ht="15.75" customHeight="1">
      <c r="A22" s="1" t="s">
        <v>26</v>
      </c>
      <c r="B22" s="2" t="s">
        <v>27</v>
      </c>
      <c r="C22" s="2"/>
    </row>
    <row r="23" ht="15.75" customHeight="1">
      <c r="B23" s="2" t="s">
        <v>28</v>
      </c>
      <c r="C23" s="2" t="s">
        <v>28</v>
      </c>
    </row>
    <row r="24" ht="15.75" customHeight="1">
      <c r="A24" s="2" t="s">
        <v>4</v>
      </c>
      <c r="B24" s="2" t="str">
        <f>IFERROR(__xludf.DUMMYFUNCTION("CONCAT(""&lt;"",GOOGLETRANSLATE(B23,""en"",""ar""))"),"&lt;دمار")</f>
        <v>&lt;دمار</v>
      </c>
      <c r="C24" s="2" t="str">
        <f>IFERROR(__xludf.DUMMYFUNCTION("CONCAT(""&lt;"",GOOGLETRANSLATE(C23,""en"",""ar""))"),"&lt;دمار")</f>
        <v>&lt;دمار</v>
      </c>
    </row>
    <row r="25" ht="15.75" customHeight="1">
      <c r="A25" s="1" t="s">
        <v>29</v>
      </c>
      <c r="B25" s="2" t="s">
        <v>30</v>
      </c>
      <c r="C25" s="2"/>
    </row>
    <row r="26" ht="15.75" customHeight="1">
      <c r="B26" s="2" t="s">
        <v>31</v>
      </c>
      <c r="C26" s="2" t="s">
        <v>32</v>
      </c>
    </row>
    <row r="27" ht="15.75" customHeight="1">
      <c r="A27" s="2" t="s">
        <v>4</v>
      </c>
      <c r="B27" s="2" t="str">
        <f>IFERROR(__xludf.DUMMYFUNCTION("CONCAT(""&lt;"",GOOGLETRANSLATE(B26,""en"",""ar""))"),"&lt;شيء ما فقد")</f>
        <v>&lt;شيء ما فقد</v>
      </c>
      <c r="C27" s="6" t="str">
        <f>IFERROR(__xludf.DUMMYFUNCTION("CONCAT(""&lt;"",GOOGLETRANSLATE(C26,""en"",""ar""))"),"&lt;شيء ضائع ، أي شخص لا يعرف أين هو")</f>
        <v>&lt;شيء ضائع ، أي شخص لا يعرف أين هو</v>
      </c>
    </row>
    <row r="28" ht="15.75" customHeight="1">
      <c r="A28" s="1" t="s">
        <v>33</v>
      </c>
      <c r="B28" s="2" t="s">
        <v>34</v>
      </c>
      <c r="C28" s="2"/>
    </row>
    <row r="29" ht="15.75" customHeight="1">
      <c r="B29" s="2" t="s">
        <v>28</v>
      </c>
      <c r="C29" s="2" t="s">
        <v>28</v>
      </c>
    </row>
    <row r="30" ht="15.75" customHeight="1">
      <c r="A30" s="2" t="s">
        <v>4</v>
      </c>
      <c r="B30" s="2" t="str">
        <f>IFERROR(__xludf.DUMMYFUNCTION("CONCAT(""&lt;"",GOOGLETRANSLATE(B29,""en"",""ar""))"),"&lt;دمار")</f>
        <v>&lt;دمار</v>
      </c>
      <c r="C30" s="2" t="str">
        <f>IFERROR(__xludf.DUMMYFUNCTION("CONCAT(""&lt;"",GOOGLETRANSLATE(C29,""en"",""ar""))"),"&lt;دمار")</f>
        <v>&lt;دمار</v>
      </c>
    </row>
    <row r="31" ht="15.75" customHeight="1">
      <c r="A31" s="1" t="s">
        <v>35</v>
      </c>
      <c r="B31" s="2" t="s">
        <v>36</v>
      </c>
      <c r="C31" s="2"/>
    </row>
    <row r="32" ht="15.75" customHeight="1">
      <c r="B32" s="2" t="s">
        <v>37</v>
      </c>
      <c r="C32" s="2" t="s">
        <v>38</v>
      </c>
    </row>
    <row r="33" ht="15.75" customHeight="1">
      <c r="A33" s="2" t="s">
        <v>4</v>
      </c>
      <c r="B33" s="2" t="str">
        <f>IFERROR(__xludf.DUMMYFUNCTION("CONCAT(""&lt;"",GOOGLETRANSLATE(B32,""en"",""ar""))"),"&lt;أبادون")</f>
        <v>&lt;أبادون</v>
      </c>
      <c r="C33" s="2" t="str">
        <f>IFERROR(__xludf.DUMMYFUNCTION("CONCAT(""&lt;"",GOOGLETRANSLATE(C32,""en"",""ar""))"),"&lt;هاوية")</f>
        <v>&lt;هاوية</v>
      </c>
    </row>
    <row r="34" ht="15.75" customHeight="1">
      <c r="A34" s="1" t="s">
        <v>39</v>
      </c>
      <c r="B34" s="2" t="s">
        <v>27</v>
      </c>
      <c r="C34" s="2"/>
    </row>
    <row r="35" ht="15.75" customHeight="1">
      <c r="B35" s="2" t="s">
        <v>28</v>
      </c>
      <c r="C35" s="2" t="s">
        <v>28</v>
      </c>
    </row>
    <row r="36" ht="15.75" customHeight="1">
      <c r="A36" s="2" t="s">
        <v>4</v>
      </c>
      <c r="B36" s="6" t="str">
        <f>IFERROR(__xludf.DUMMYFUNCTION("CONCAT(""&lt;"",GOOGLETRANSLATE(B35,""en"",""ar""))"),"&lt;دمار")</f>
        <v>&lt;دمار</v>
      </c>
      <c r="C36" s="6" t="str">
        <f>IFERROR(__xludf.DUMMYFUNCTION("CONCAT(""&lt;"",GOOGLETRANSLATE(C35,""en"",""ar""))"),"&lt;دمار")</f>
        <v>&lt;دمار</v>
      </c>
    </row>
    <row r="37" ht="15.75" customHeight="1">
      <c r="A37" s="1" t="s">
        <v>40</v>
      </c>
      <c r="B37" s="2" t="s">
        <v>27</v>
      </c>
      <c r="C37" s="2"/>
    </row>
    <row r="38" ht="15.75" customHeight="1">
      <c r="B38" s="2" t="s">
        <v>28</v>
      </c>
      <c r="C38" s="2" t="s">
        <v>41</v>
      </c>
    </row>
    <row r="39" ht="15.75" customHeight="1">
      <c r="A39" s="2" t="s">
        <v>4</v>
      </c>
      <c r="B39" s="2" t="str">
        <f>IFERROR(__xludf.DUMMYFUNCTION("CONCAT(""&lt;"",GOOGLETRANSLATE(B38,""en"",""ar""))"),"&lt;دمار")</f>
        <v>&lt;دمار</v>
      </c>
      <c r="C39" s="2" t="str">
        <f>IFERROR(__xludf.DUMMYFUNCTION("CONCAT(""&lt;"",GOOGLETRANSLATE(C38,""en"",""ar""))"),"&lt;فعل التدمير")</f>
        <v>&lt;فعل التدمير</v>
      </c>
    </row>
    <row r="40" ht="15.75" customHeight="1">
      <c r="A40" s="1" t="s">
        <v>42</v>
      </c>
      <c r="B40" s="2" t="s">
        <v>43</v>
      </c>
      <c r="C40" s="2"/>
    </row>
    <row r="41" ht="15.75" customHeight="1">
      <c r="B41" s="2" t="s">
        <v>44</v>
      </c>
      <c r="C41" s="2" t="s">
        <v>45</v>
      </c>
    </row>
    <row r="42" ht="15.75" customHeight="1">
      <c r="A42" s="2" t="s">
        <v>4</v>
      </c>
      <c r="B42" s="2" t="str">
        <f>IFERROR(__xludf.DUMMYFUNCTION("CONCAT(""&lt;"",GOOGLETRANSLATE(B41,""en"",""ar""))"),"&lt;كن راغبا")</f>
        <v>&lt;كن راغبا</v>
      </c>
      <c r="C42" s="2" t="str">
        <f>IFERROR(__xludf.DUMMYFUNCTION("CONCAT(""&lt;"",GOOGLETRANSLATE(C41,""en"",""ar""))"),"&lt;QAL لتكون على استعداد")</f>
        <v>&lt;QAL لتكون على استعداد</v>
      </c>
    </row>
    <row r="43" ht="15.75" customHeight="1">
      <c r="A43" s="1" t="s">
        <v>46</v>
      </c>
      <c r="B43" s="2" t="s">
        <v>47</v>
      </c>
      <c r="C43" s="2"/>
    </row>
    <row r="44" ht="15.75" customHeight="1">
      <c r="B44" s="2" t="s">
        <v>48</v>
      </c>
      <c r="C44" s="2" t="s">
        <v>49</v>
      </c>
    </row>
    <row r="45" ht="15.75" customHeight="1">
      <c r="A45" s="2" t="s">
        <v>4</v>
      </c>
      <c r="B45" s="2" t="str">
        <f>IFERROR(__xludf.DUMMYFUNCTION("CONCAT(""&lt;"",GOOGLETRANSLATE(B44,""en"",""ar""))"),"&lt;يرغب")</f>
        <v>&lt;يرغب</v>
      </c>
      <c r="C45" s="2" t="str">
        <f>IFERROR(__xludf.DUMMYFUNCTION("CONCAT(""&lt;"",GOOGLETRANSLATE(C44,""en"",""ar""))"),"&lt;الشوق ، الرغبة")</f>
        <v>&lt;الشوق ، الرغبة</v>
      </c>
    </row>
    <row r="46" ht="15.75" customHeight="1">
      <c r="A46" s="1" t="s">
        <v>50</v>
      </c>
      <c r="B46" s="2" t="s">
        <v>51</v>
      </c>
      <c r="C46" s="2"/>
    </row>
    <row r="47" ht="15.75" customHeight="1">
      <c r="B47" s="2" t="s">
        <v>52</v>
      </c>
      <c r="C47" s="2" t="s">
        <v>52</v>
      </c>
    </row>
    <row r="48" ht="15.75" customHeight="1">
      <c r="A48" s="2" t="s">
        <v>4</v>
      </c>
      <c r="B48" s="7" t="str">
        <f>IFERROR(__xludf.DUMMYFUNCTION("CONCAT(""&lt;"",GOOGLETRANSLATE(B47,""en"",""ar""))"),"&lt;ورق بردي")</f>
        <v>&lt;ورق بردي</v>
      </c>
      <c r="C48" s="2" t="str">
        <f>IFERROR(__xludf.DUMMYFUNCTION("CONCAT(""&lt;"",GOOGLETRANSLATE(C47,""en"",""ar""))"),"&lt;ورق بردي")</f>
        <v>&lt;ورق بردي</v>
      </c>
    </row>
    <row r="49" ht="15.75" customHeight="1">
      <c r="A49" s="1" t="s">
        <v>53</v>
      </c>
      <c r="B49" s="2" t="s">
        <v>54</v>
      </c>
      <c r="C49" s="2"/>
    </row>
    <row r="50" ht="15.75" customHeight="1">
      <c r="B50" s="2" t="s">
        <v>55</v>
      </c>
      <c r="C50" s="2" t="s">
        <v>56</v>
      </c>
    </row>
    <row r="51" ht="15.75" customHeight="1">
      <c r="A51" s="2" t="s">
        <v>4</v>
      </c>
      <c r="B51" s="2" t="str">
        <f>IFERROR(__xludf.DUMMYFUNCTION("CONCAT(""&lt;"",GOOGLETRANSLATE(B50,""en"",""ar""))"),"&lt;يريد")</f>
        <v>&lt;يريد</v>
      </c>
      <c r="C51" s="2" t="str">
        <f>IFERROR(__xludf.DUMMYFUNCTION("CONCAT(""&lt;"",GOOGLETRANSLATE(C50,""en"",""ar""))"),"&lt;الفقر ، تريد ، البؤس ، الحزن ، ويل")</f>
        <v>&lt;الفقر ، تريد ، البؤس ، الحزن ، ويل</v>
      </c>
    </row>
    <row r="52" ht="15.75" customHeight="1">
      <c r="A52" s="1" t="s">
        <v>57</v>
      </c>
      <c r="B52" s="2" t="s">
        <v>58</v>
      </c>
      <c r="C52" s="2"/>
    </row>
    <row r="53" ht="15.75" customHeight="1">
      <c r="B53" s="2" t="s">
        <v>59</v>
      </c>
      <c r="C53" s="2" t="s">
        <v>60</v>
      </c>
    </row>
    <row r="54" ht="15.75" customHeight="1">
      <c r="A54" s="2" t="s">
        <v>4</v>
      </c>
      <c r="B54" s="2" t="str">
        <f>IFERROR(__xludf.DUMMYFUNCTION("CONCAT(""&lt;"",GOOGLETRANSLATE(B53,""en"",""ar""))"),"&lt;سرير")</f>
        <v>&lt;سرير</v>
      </c>
      <c r="C54" s="2" t="str">
        <f>IFERROR(__xludf.DUMMYFUNCTION("CONCAT(""&lt;"",GOOGLETRANSLATE(C53,""en"",""ar""))"),"&lt;المذود ، سرير")</f>
        <v>&lt;المذود ، سرير</v>
      </c>
    </row>
    <row r="55" ht="15.75" customHeight="1">
      <c r="A55" s="1" t="s">
        <v>61</v>
      </c>
      <c r="B55" s="2" t="s">
        <v>62</v>
      </c>
      <c r="C55" s="2"/>
    </row>
    <row r="56" ht="15.75" customHeight="1">
      <c r="B56" s="2" t="s">
        <v>63</v>
      </c>
      <c r="C56" s="2" t="s">
        <v>64</v>
      </c>
    </row>
    <row r="57" ht="15.75" customHeight="1">
      <c r="A57" s="2" t="s">
        <v>4</v>
      </c>
      <c r="B57" s="2" t="str">
        <f>IFERROR(__xludf.DUMMYFUNCTION("CONCAT(""&lt;"",GOOGLETRANSLATE(B56,""en"",""ar""))"),"&lt;ذبح")</f>
        <v>&lt;ذبح</v>
      </c>
      <c r="C57" s="2" t="str">
        <f>IFERROR(__xludf.DUMMYFUNCTION("CONCAT(""&lt;"",GOOGLETRANSLATE(C56,""en"",""ar""))"),"&lt;معنى غير معروف تهديد hottp / عدم الاستيلاء / اللامع")</f>
        <v>&lt;معنى غير معروف تهديد hottp / عدم الاستيلاء / اللامع</v>
      </c>
    </row>
    <row r="58" ht="15.75" customHeight="1">
      <c r="A58" s="1" t="s">
        <v>65</v>
      </c>
      <c r="B58" s="2" t="s">
        <v>66</v>
      </c>
      <c r="C58" s="2"/>
    </row>
    <row r="59" ht="15.75" customHeight="1">
      <c r="B59" s="2" t="s">
        <v>67</v>
      </c>
      <c r="C59" s="2" t="s">
        <v>68</v>
      </c>
    </row>
    <row r="60" ht="15.75" customHeight="1">
      <c r="A60" s="2" t="s">
        <v>4</v>
      </c>
      <c r="B60" s="2" t="str">
        <f>IFERROR(__xludf.DUMMYFUNCTION("CONCAT(""&lt;"",GOOGLETRANSLATE(B59,""en"",""ar""))"),"&lt;شمام")</f>
        <v>&lt;شمام</v>
      </c>
      <c r="C60" s="2" t="str">
        <f>IFERROR(__xludf.DUMMYFUNCTION("CONCAT(""&lt;"",GOOGLETRANSLATE(C59,""en"",""ar""))"),"&lt;البطيخ")</f>
        <v>&lt;البطيخ</v>
      </c>
    </row>
    <row r="61" ht="15.75" customHeight="1">
      <c r="A61" s="1" t="s">
        <v>69</v>
      </c>
      <c r="B61" s="2" t="s">
        <v>70</v>
      </c>
      <c r="C61" s="2"/>
    </row>
    <row r="62" ht="15.75" customHeight="1">
      <c r="B62" s="2" t="s">
        <v>71</v>
      </c>
      <c r="C62" s="2" t="s">
        <v>72</v>
      </c>
    </row>
    <row r="63" ht="15.75" customHeight="1">
      <c r="A63" s="2" t="s">
        <v>4</v>
      </c>
      <c r="B63" s="2" t="str">
        <f>IFERROR(__xludf.DUMMYFUNCTION("CONCAT(""&lt;"",GOOGLETRANSLATE(B62,""en"",""ar""))"),"&lt;أبي")</f>
        <v>&lt;أبي</v>
      </c>
      <c r="C63" s="2" t="str">
        <f>IFERROR(__xludf.DUMMYFUNCTION("CONCAT(""&lt;"",GOOGLETRANSLATE(C62,""en"",""ar""))"),"&lt;أبي ابنة زكريا ؛ زوجة أهاز والدة حزقيا")</f>
        <v>&lt;أبي ابنة زكريا ؛ زوجة أهاز والدة حزقيا</v>
      </c>
    </row>
    <row r="64" ht="15.75" customHeight="1">
      <c r="A64" s="1" t="s">
        <v>73</v>
      </c>
      <c r="B64" s="2" t="s">
        <v>74</v>
      </c>
      <c r="C64" s="2"/>
    </row>
    <row r="65" ht="15.75" customHeight="1">
      <c r="B65" s="2" t="s">
        <v>75</v>
      </c>
      <c r="C65" s="2" t="s">
        <v>76</v>
      </c>
    </row>
    <row r="66" ht="15.75" customHeight="1">
      <c r="A66" s="2" t="s">
        <v>4</v>
      </c>
      <c r="B66" s="2" t="str">
        <f>IFERROR(__xludf.DUMMYFUNCTION("CONCAT(""&lt;"",GOOGLETRANSLATE(B65,""en"",""ar""))"),"&lt;أبيل")</f>
        <v>&lt;أبيل</v>
      </c>
      <c r="C66" s="2" t="str">
        <f>IFERROR(__xludf.DUMMYFUNCTION("CONCAT(""&lt;"",GOOGLETRANSLATE(C65,""en"",""ar""))"),"&lt;Abiel = ""والدي هو الله"" أو ""أبي قوي"" جد الملك شاول ؛ المحارب أبي ألبون في زمن الملك داود")</f>
        <v>&lt;Abiel = "والدي هو الله" أو "أبي قوي" جد الملك شاول ؛ المحارب أبي ألبون في زمن الملك داود</v>
      </c>
    </row>
    <row r="67" ht="15.75" customHeight="1">
      <c r="A67" s="1" t="s">
        <v>77</v>
      </c>
      <c r="B67" s="2" t="s">
        <v>78</v>
      </c>
      <c r="C67" s="2"/>
    </row>
    <row r="68" ht="15.75" customHeight="1">
      <c r="B68" s="2" t="s">
        <v>79</v>
      </c>
      <c r="C68" s="2" t="s">
        <v>80</v>
      </c>
    </row>
    <row r="69" ht="15.75" customHeight="1">
      <c r="A69" s="2" t="s">
        <v>4</v>
      </c>
      <c r="B69" s="2" t="str">
        <f>IFERROR(__xludf.DUMMYFUNCTION("CONCAT(""&lt;"",GOOGLETRANSLATE(B68,""en"",""ar""))"),"&lt;abiasaph")</f>
        <v>&lt;abiasaph</v>
      </c>
      <c r="C69" s="2" t="str">
        <f>IFERROR(__xludf.DUMMYFUNCTION("CONCAT(""&lt;"",GOOGLETRANSLATE(C68,""en"",""ar""))"),"&lt;abiasaph ابن كوراح قبيلة ليفي")</f>
        <v>&lt;abiasaph ابن كوراح قبيلة ليفي</v>
      </c>
    </row>
    <row r="70" ht="15.75" customHeight="1">
      <c r="A70" s="1" t="s">
        <v>81</v>
      </c>
      <c r="B70" s="2" t="s">
        <v>82</v>
      </c>
      <c r="C70" s="2"/>
    </row>
    <row r="71" ht="15.75" customHeight="1">
      <c r="B71" s="2" t="s">
        <v>83</v>
      </c>
      <c r="C71" s="2" t="s">
        <v>84</v>
      </c>
    </row>
    <row r="72" ht="15.75" customHeight="1">
      <c r="A72" s="2" t="s">
        <v>4</v>
      </c>
      <c r="B72" s="2" t="str">
        <f>IFERROR(__xludf.DUMMYFUNCTION("CONCAT(""&lt;"",GOOGLETRANSLATE(B71,""en"",""ar""))"),"&lt;أبيب")</f>
        <v>&lt;أبيب</v>
      </c>
      <c r="C72" s="6" t="str">
        <f>IFERROR(__xludf.DUMMYFUNCTION("CONCAT(""&lt;"",GOOGLETRANSLATE(C71,""en"",""ar""))"),"&lt;(أ) آذان (من الحبوب) ؛ (ب) اسم الشهر ؛ ما قبل الاستفادة ؛ مارس/أبريل")</f>
        <v>&lt;(أ) آذان (من الحبوب) ؛ (ب) اسم الشهر ؛ ما قبل الاستفادة ؛ مارس/أبريل</v>
      </c>
    </row>
    <row r="73" ht="15.75" customHeight="1">
      <c r="A73" s="1" t="s">
        <v>85</v>
      </c>
      <c r="B73" s="2" t="s">
        <v>86</v>
      </c>
      <c r="C73" s="2"/>
    </row>
    <row r="74" ht="15.75" customHeight="1">
      <c r="B74" s="2" t="s">
        <v>87</v>
      </c>
      <c r="C74" s="2" t="s">
        <v>87</v>
      </c>
    </row>
    <row r="75" ht="15.75" customHeight="1">
      <c r="A75" s="2" t="s">
        <v>4</v>
      </c>
      <c r="B75" s="2" t="str">
        <f>IFERROR(__xludf.DUMMYFUNCTION("CONCAT(""&lt;"",GOOGLETRANSLATE(B74,""en"",""ar""))"),"&lt;أبي-جيبون")</f>
        <v>&lt;أبي-جيبون</v>
      </c>
      <c r="C75" s="2" t="str">
        <f>IFERROR(__xludf.DUMMYFUNCTION("CONCAT(""&lt;"",GOOGLETRANSLATE(C74,""en"",""ar""))"),"&lt;أبي-جيبون")</f>
        <v>&lt;أبي-جيبون</v>
      </c>
    </row>
    <row r="76" ht="15.75" customHeight="1">
      <c r="A76" s="1" t="s">
        <v>88</v>
      </c>
      <c r="B76" s="2" t="s">
        <v>89</v>
      </c>
      <c r="C76" s="2"/>
    </row>
    <row r="77" ht="15.75" customHeight="1">
      <c r="B77" s="2" t="s">
        <v>90</v>
      </c>
      <c r="C77" s="2" t="s">
        <v>91</v>
      </c>
    </row>
    <row r="78" ht="15.75" customHeight="1">
      <c r="A78" s="2" t="s">
        <v>4</v>
      </c>
      <c r="B78" s="4" t="str">
        <f>IFERROR(__xludf.DUMMYFUNCTION("CONCAT(""&lt;"",GOOGLETRANSLATE(B77,""en"",""ar""))"),"&lt;أبيجيل")</f>
        <v>&lt;أبيجيل</v>
      </c>
      <c r="C78" s="2" t="str">
        <f>IFERROR(__xludf.DUMMYFUNCTION("CONCAT(""&lt;"",GOOGLETRANSLATE(C77,""en"",""ar""))"),"&lt;(a) אֲבִיגַל   Abigail; زوجة نابال وديفيد. (b) אֲבִיגַל   Abigail; ابنة ناهاش أخت ديفيد")</f>
        <v>&lt;(a) אֲבִיגַל   Abigail; زوجة نابال وديفيد. (b) אֲבִיגַל   Abigail; ابنة ناهاش أخت ديفيد</v>
      </c>
    </row>
    <row r="79" ht="15.75" customHeight="1">
      <c r="A79" s="1" t="s">
        <v>92</v>
      </c>
      <c r="B79" s="2" t="s">
        <v>93</v>
      </c>
      <c r="C79" s="2"/>
    </row>
    <row r="80" ht="15.75" customHeight="1">
      <c r="B80" s="2" t="s">
        <v>94</v>
      </c>
      <c r="C80" s="2" t="s">
        <v>95</v>
      </c>
    </row>
    <row r="81" ht="15.75" customHeight="1">
      <c r="A81" s="2" t="s">
        <v>4</v>
      </c>
      <c r="B81" s="2" t="str">
        <f>IFERROR(__xludf.DUMMYFUNCTION("CONCAT(""&lt;"",GOOGLETRANSLATE(B80,""en"",""ar""))"),"&lt;أبيدان")</f>
        <v>&lt;أبيدان</v>
      </c>
      <c r="C81" s="4" t="str">
        <f>IFERROR(__xludf.DUMMYFUNCTION("CONCAT(""&lt;"",GOOGLETRANSLATE(C80,""en"",""ar""))"),"&lt;أبيدان ابن جدوني ؛ رئيس؛ قبيلة بنيامين وقت موسى")</f>
        <v>&lt;أبيدان ابن جدوني ؛ رئيس؛ قبيلة بنيامين وقت موسى</v>
      </c>
    </row>
    <row r="82" ht="15.75" customHeight="1">
      <c r="A82" s="1" t="s">
        <v>96</v>
      </c>
      <c r="B82" s="2" t="s">
        <v>97</v>
      </c>
      <c r="C82" s="2"/>
    </row>
    <row r="83" ht="15.75" customHeight="1">
      <c r="B83" s="2" t="s">
        <v>98</v>
      </c>
      <c r="C83" s="2" t="s">
        <v>99</v>
      </c>
    </row>
    <row r="84" ht="15.75" customHeight="1">
      <c r="A84" s="2" t="s">
        <v>4</v>
      </c>
      <c r="B84" s="4" t="str">
        <f>IFERROR(__xludf.DUMMYFUNCTION("CONCAT(""&lt;"",GOOGLETRANSLATE(B83,""en"",""ar""))"),"&lt;أبيدا")</f>
        <v>&lt;أبيدا</v>
      </c>
      <c r="C84" s="4" t="str">
        <f>IFERROR(__xludf.DUMMYFUNCTION("CONCAT(""&lt;"",GOOGLETRANSLATE(C83,""en"",""ar""))"),"&lt;أبيدا ابن مديان ، ابن كيتورا ، زوجة إبراهيم")</f>
        <v>&lt;أبيدا ابن مديان ، ابن كيتورا ، زوجة إبراهيم</v>
      </c>
    </row>
    <row r="85" ht="15.75" customHeight="1">
      <c r="A85" s="1" t="s">
        <v>100</v>
      </c>
      <c r="B85" s="2" t="s">
        <v>101</v>
      </c>
      <c r="C85" s="2"/>
    </row>
    <row r="86" ht="15.75" customHeight="1">
      <c r="B86" s="2" t="s">
        <v>102</v>
      </c>
      <c r="C86" s="2" t="s">
        <v>103</v>
      </c>
    </row>
    <row r="87" ht="15.75" customHeight="1">
      <c r="A87" s="2" t="s">
        <v>4</v>
      </c>
      <c r="B87" s="2" t="str">
        <f>IFERROR(__xludf.DUMMYFUNCTION("CONCAT(""&lt;"",GOOGLETRANSLATE(B86,""en"",""ar""))"),"&lt;أبيجا")</f>
        <v>&lt;أبيجا</v>
      </c>
      <c r="C87" s="2" t="str">
        <f>IFERROR(__xludf.DUMMYFUNCTION("CONCAT(""&lt;"",GOOGLETRANSLATE(C86,""en"",""ar""))"),"&lt;(أ) أبيجا ؛ ابن بيشر ، ابن بنيامين ؛ (ب) أبيجا ؛ زوجة حزير. (ج) أبيجا ؛ ابن صموئيل (د) أبيجا ؛ كاهن؛ قبيلة ليفي (e) אֲבִיָּם ,אֲבִיָּהוּ   Abijah; ابن ريهوبام ؛ ملك يهوذا (913-911/10) ؛ (و) أبيجا ؛ ابن جيروبام ؛ (g) אֲבִי   Abijah; ابنة زكريا ؛ زوجة أهاز"&amp;" والدة حزقيا ؛ (ح) أبيجا ؛ كاهن؛ قبيلة ليفي \ أبيجا ؛ ابن ريهوبام ؛ ملك يهوذا (913-911/10)")</f>
        <v>&lt;(أ) أبيجا ؛ ابن بيشر ، ابن بنيامين ؛ (ب) أبيجا ؛ زوجة حزير. (ج) أبيجا ؛ ابن صموئيل (د) أبيجا ؛ كاهن؛ قبيلة ليفي (e) אֲבִיָּם ,אֲבִיָּהוּ   Abijah; ابن ريهوبام ؛ ملك يهوذا (913-911/10) ؛ (و) أبيجا ؛ ابن جيروبام ؛ (g) אֲבִי   Abijah; ابنة زكريا ؛ زوجة أهاز والدة حزقيا ؛ (ح) أبيجا ؛ كاهن؛ قبيلة ليفي \ أبيجا ؛ ابن ريهوبام ؛ ملك يهوذا (913-911/10)</v>
      </c>
    </row>
    <row r="88" ht="15.75" customHeight="1">
      <c r="A88" s="1" t="s">
        <v>104</v>
      </c>
      <c r="B88" s="2" t="s">
        <v>105</v>
      </c>
      <c r="C88" s="2"/>
    </row>
    <row r="89" ht="15.75" customHeight="1">
      <c r="B89" s="2" t="s">
        <v>106</v>
      </c>
      <c r="C89" s="2" t="s">
        <v>107</v>
      </c>
    </row>
    <row r="90" ht="15.75" customHeight="1">
      <c r="A90" s="2" t="s">
        <v>4</v>
      </c>
      <c r="B90" s="2" t="str">
        <f>IFERROR(__xludf.DUMMYFUNCTION("CONCAT(""&lt;"",GOOGLETRANSLATE(B89,""en"",""ar""))"),"&lt;أبيهو")</f>
        <v>&lt;أبيهو</v>
      </c>
      <c r="C90" s="2" t="str">
        <f>IFERROR(__xludf.DUMMYFUNCTION("CONCAT(""&lt;"",GOOGLETRANSLATE(C89,""en"",""ar""))"),"&lt;أبيهو ابن هارون كاهن؛ قبيلة ليفي")</f>
        <v>&lt;أبيهو ابن هارون كاهن؛ قبيلة ليفي</v>
      </c>
    </row>
    <row r="91" ht="15.75" customHeight="1">
      <c r="A91" s="1" t="s">
        <v>108</v>
      </c>
      <c r="B91" s="2" t="s">
        <v>109</v>
      </c>
      <c r="C91" s="2"/>
    </row>
    <row r="92" ht="15.75" customHeight="1">
      <c r="B92" s="2" t="s">
        <v>110</v>
      </c>
      <c r="C92" s="2" t="s">
        <v>111</v>
      </c>
    </row>
    <row r="93" ht="15.75" customHeight="1">
      <c r="A93" s="2" t="s">
        <v>4</v>
      </c>
      <c r="B93" s="2" t="str">
        <f>IFERROR(__xludf.DUMMYFUNCTION("CONCAT(""&lt;"",GOOGLETRANSLATE(B92,""en"",""ar""))"),"&lt;أبيهود")</f>
        <v>&lt;أبيهود</v>
      </c>
      <c r="C93" s="2" t="str">
        <f>IFERROR(__xludf.DUMMYFUNCTION("CONCAT(""&lt;"",GOOGLETRANSLATE(C92,""en"",""ar""))"),"&lt;أبيهود ابن بيلا قبيلة بنيامين")</f>
        <v>&lt;أبيهود ابن بيلا قبيلة بنيامين</v>
      </c>
    </row>
    <row r="94" ht="15.75" customHeight="1">
      <c r="A94" s="1" t="s">
        <v>112</v>
      </c>
      <c r="B94" s="2" t="s">
        <v>113</v>
      </c>
      <c r="C94" s="2"/>
    </row>
    <row r="95" ht="15.75" customHeight="1">
      <c r="B95" s="2" t="s">
        <v>114</v>
      </c>
      <c r="C95" s="2" t="s">
        <v>115</v>
      </c>
    </row>
    <row r="96" ht="15.75" customHeight="1">
      <c r="A96" s="2" t="s">
        <v>4</v>
      </c>
      <c r="B96" s="2" t="str">
        <f>IFERROR(__xludf.DUMMYFUNCTION("CONCAT(""&lt;"",GOOGLETRANSLATE(B95,""en"",""ar""))"),"&lt;أبيهيل")</f>
        <v>&lt;أبيهيل</v>
      </c>
      <c r="C96" s="2" t="str">
        <f>IFERROR(__xludf.DUMMYFUNCTION("CONCAT(""&lt;"",GOOGLETRANSLATE(C95,""en"",""ar""))"),"&lt;(أ) أبيهيل ؛ والد زيريل قبيلة ليفي (ب) أبيهيل ؛ ابن هاري قبيلة جاد (ج) أبيهيل ؛ والد إستير قبيلة بنيامين \ (ج) أبيهيل ؛ زوجة أبيشور ، سليل جيراهميل ، قبيلة يهوذا ؛ (د) أبيهيل ؛ ابنة إيليب ، ابن جيسي")</f>
        <v>&lt;(أ) أبيهيل ؛ والد زيريل قبيلة ليفي (ب) أبيهيل ؛ ابن هاري قبيلة جاد (ج) أبيهيل ؛ والد إستير قبيلة بنيامين \ (ج) أبيهيل ؛ زوجة أبيشور ، سليل جيراهميل ، قبيلة يهوذا ؛ (د) أبيهيل ؛ ابنة إيليب ، ابن جيسي</v>
      </c>
    </row>
    <row r="97" ht="15.75" customHeight="1">
      <c r="A97" s="1" t="s">
        <v>116</v>
      </c>
      <c r="B97" s="2" t="s">
        <v>117</v>
      </c>
      <c r="C97" s="2"/>
    </row>
    <row r="98" ht="15.75" customHeight="1">
      <c r="B98" s="2" t="s">
        <v>118</v>
      </c>
      <c r="C98" s="2" t="s">
        <v>119</v>
      </c>
    </row>
    <row r="99" ht="15.75" customHeight="1">
      <c r="A99" s="2" t="s">
        <v>4</v>
      </c>
      <c r="B99" s="4" t="str">
        <f>IFERROR(__xludf.DUMMYFUNCTION("CONCAT(""&lt;"",GOOGLETRANSLATE(B98,""en"",""ar""))"),"&lt;abi-ezrite")</f>
        <v>&lt;abi-ezrite</v>
      </c>
      <c r="C99" s="2" t="str">
        <f>IFERROR(__xludf.DUMMYFUNCTION("CONCAT(""&lt;"",GOOGLETRANSLATE(C98,""en"",""ar""))"),"&lt;أبيزريت عضو في عشيرة أبيزر")</f>
        <v>&lt;أبيزريت عضو في عشيرة أبيزر</v>
      </c>
    </row>
    <row r="100" ht="15.75" customHeight="1">
      <c r="A100" s="1" t="s">
        <v>120</v>
      </c>
      <c r="B100" s="2" t="s">
        <v>121</v>
      </c>
      <c r="C100" s="2"/>
    </row>
    <row r="101" ht="15.75" customHeight="1">
      <c r="B101" s="2" t="s">
        <v>122</v>
      </c>
      <c r="C101" s="2" t="s">
        <v>123</v>
      </c>
    </row>
    <row r="102" ht="15.75" customHeight="1">
      <c r="A102" s="2" t="s">
        <v>4</v>
      </c>
      <c r="B102" s="2" t="str">
        <f>IFERROR(__xludf.DUMMYFUNCTION("CONCAT(""&lt;"",GOOGLETRANSLATE(B101,""en"",""ar""))"),"&lt;المحتاجين")</f>
        <v>&lt;المحتاجين</v>
      </c>
      <c r="C102" s="4" t="str">
        <f>IFERROR(__xludf.DUMMYFUNCTION("CONCAT(""&lt;"",GOOGLETRANSLATE(C101,""en"",""ar""))"),"&lt;فقير ، بائسة")</f>
        <v>&lt;فقير ، بائسة</v>
      </c>
    </row>
    <row r="103" ht="15.75" customHeight="1">
      <c r="A103" s="1" t="s">
        <v>124</v>
      </c>
      <c r="B103" s="2" t="s">
        <v>125</v>
      </c>
      <c r="C103" s="2"/>
    </row>
    <row r="104" ht="15.75" customHeight="1">
      <c r="B104" s="2" t="s">
        <v>48</v>
      </c>
      <c r="C104" s="2" t="s">
        <v>126</v>
      </c>
    </row>
    <row r="105" ht="15.75" customHeight="1">
      <c r="A105" s="2" t="s">
        <v>4</v>
      </c>
      <c r="B105" s="2" t="str">
        <f>IFERROR(__xludf.DUMMYFUNCTION("CONCAT(""&lt;"",GOOGLETRANSLATE(B104,""en"",""ar""))"),"&lt;يرغب")</f>
        <v>&lt;يرغب</v>
      </c>
      <c r="C105" s="2" t="str">
        <f>IFERROR(__xludf.DUMMYFUNCTION("CONCAT(""&lt;"",GOOGLETRANSLATE(C104,""en"",""ar""))"),"&lt;كابر بيري يقال إن الأكل يحفز الرغبة الجنسية")</f>
        <v>&lt;كابر بيري يقال إن الأكل يحفز الرغبة الجنسية</v>
      </c>
    </row>
    <row r="106" ht="15.75" customHeight="1">
      <c r="A106" s="1" t="s">
        <v>127</v>
      </c>
      <c r="B106" s="2" t="s">
        <v>128</v>
      </c>
      <c r="C106" s="2"/>
    </row>
    <row r="107" ht="15.75" customHeight="1">
      <c r="B107" s="2" t="s">
        <v>129</v>
      </c>
      <c r="C107" s="2" t="s">
        <v>130</v>
      </c>
    </row>
    <row r="108" ht="15.75" customHeight="1">
      <c r="A108" s="2" t="s">
        <v>4</v>
      </c>
      <c r="B108" s="2" t="str">
        <f>IFERROR(__xludf.DUMMYFUNCTION("CONCAT(""&lt;"",GOOGLETRANSLATE(B107,""en"",""ar""))"),"&lt;abitub")</f>
        <v>&lt;abitub</v>
      </c>
      <c r="C108" s="2" t="str">
        <f>IFERROR(__xludf.DUMMYFUNCTION("CONCAT(""&lt;"",GOOGLETRANSLATE(C107,""en"",""ar""))"),"&lt;abitub ابن شاهاريم قبيلة بنيامين")</f>
        <v>&lt;abitub ابن شاهاريم قبيلة بنيامين</v>
      </c>
    </row>
    <row r="109" ht="15.75" customHeight="1">
      <c r="A109" s="1" t="s">
        <v>131</v>
      </c>
      <c r="B109" s="2" t="s">
        <v>132</v>
      </c>
      <c r="C109" s="2"/>
    </row>
    <row r="110" ht="15.75" customHeight="1">
      <c r="B110" s="2" t="s">
        <v>133</v>
      </c>
      <c r="C110" s="2" t="s">
        <v>134</v>
      </c>
    </row>
    <row r="111" ht="15.75" customHeight="1">
      <c r="A111" s="2" t="s">
        <v>4</v>
      </c>
      <c r="B111" s="2" t="str">
        <f>IFERROR(__xludf.DUMMYFUNCTION("CONCAT(""&lt;"",GOOGLETRANSLATE(B110,""en"",""ar""))"),"&lt;أبيتال")</f>
        <v>&lt;أبيتال</v>
      </c>
      <c r="C111" s="2" t="str">
        <f>IFERROR(__xludf.DUMMYFUNCTION("CONCAT(""&lt;"",GOOGLETRANSLATE(C110,""en"",""ar""))"),"&lt;أبيتال زوجة ديفيد")</f>
        <v>&lt;أبيتال زوجة ديفيد</v>
      </c>
    </row>
    <row r="112" ht="15.75" customHeight="1">
      <c r="A112" s="1" t="s">
        <v>135</v>
      </c>
      <c r="B112" s="2" t="s">
        <v>136</v>
      </c>
      <c r="C112" s="2"/>
    </row>
    <row r="113" ht="15.75" customHeight="1">
      <c r="B113" s="2" t="s">
        <v>137</v>
      </c>
      <c r="C113" s="2" t="s">
        <v>138</v>
      </c>
    </row>
    <row r="114" ht="15.75" customHeight="1">
      <c r="A114" s="2" t="s">
        <v>4</v>
      </c>
      <c r="B114" s="2" t="str">
        <f>IFERROR(__xludf.DUMMYFUNCTION("CONCAT(""&lt;"",GOOGLETRANSLATE(B113,""en"",""ar""))"),"&lt;أبيجام")</f>
        <v>&lt;أبيجام</v>
      </c>
      <c r="C114" s="2" t="str">
        <f>IFERROR(__xludf.DUMMYFUNCTION("CONCAT(""&lt;"",GOOGLETRANSLATE(C113,""en"",""ar""))"),"&lt;أبيجام ابن ريهوبام ؛ ملك يهوذا (913-911/10)")</f>
        <v>&lt;أبيجام ابن ريهوبام ؛ ملك يهوذا (913-911/10)</v>
      </c>
    </row>
    <row r="115" ht="15.75" customHeight="1">
      <c r="A115" s="1" t="s">
        <v>139</v>
      </c>
      <c r="B115" s="2" t="s">
        <v>140</v>
      </c>
      <c r="C115" s="2"/>
    </row>
    <row r="116" ht="15.75" customHeight="1">
      <c r="B116" s="2" t="s">
        <v>141</v>
      </c>
      <c r="C116" s="2" t="s">
        <v>142</v>
      </c>
    </row>
    <row r="117" ht="15.75" customHeight="1">
      <c r="A117" s="2" t="s">
        <v>4</v>
      </c>
      <c r="B117" s="2" t="str">
        <f>IFERROR(__xludf.DUMMYFUNCTION("CONCAT(""&lt;"",GOOGLETRANSLATE(B116,""en"",""ar""))"),"&lt;أبيمل")</f>
        <v>&lt;أبيمل</v>
      </c>
      <c r="C117" s="2" t="str">
        <f>IFERROR(__xludf.DUMMYFUNCTION("CONCAT(""&lt;"",GOOGLETRANSLATE(C116,""en"",""ar""))"),"&lt;أبيمل ابن جوكتان ؛ سليل شيم")</f>
        <v>&lt;أبيمل ابن جوكتان ؛ سليل شيم</v>
      </c>
    </row>
    <row r="118" ht="15.75" customHeight="1">
      <c r="A118" s="1" t="s">
        <v>143</v>
      </c>
      <c r="B118" s="2" t="s">
        <v>144</v>
      </c>
      <c r="C118" s="2"/>
    </row>
    <row r="119" ht="15.75" customHeight="1">
      <c r="B119" s="2" t="s">
        <v>145</v>
      </c>
      <c r="C119" s="2" t="s">
        <v>146</v>
      </c>
    </row>
    <row r="120" ht="15.75" customHeight="1">
      <c r="A120" s="2" t="s">
        <v>4</v>
      </c>
      <c r="B120" s="2" t="str">
        <f>IFERROR(__xludf.DUMMYFUNCTION("CONCAT(""&lt;"",GOOGLETRANSLATE(B119,""en"",""ar""))"),"&lt;Abimelech")</f>
        <v>&lt;Abimelech</v>
      </c>
      <c r="C120" s="2" t="str">
        <f>IFERROR(__xludf.DUMMYFUNCTION("CONCAT(""&lt;"",GOOGLETRANSLATE(C119,""en"",""ar""))"),"&lt;(أ) Abimelech ؛ ملك جيرار (ب) Abimelech ؛ ابن جدعون. ملك شيشم (ج) Abimelech ؛ آشش ، ملك جاث؟ (د) أبيميليش ؛ ابن أبياتار ؛ كاهن؛ قبيلة ليفي")</f>
        <v>&lt;(أ) Abimelech ؛ ملك جيرار (ب) Abimelech ؛ ابن جدعون. ملك شيشم (ج) Abimelech ؛ آشش ، ملك جاث؟ (د) أبيميليش ؛ ابن أبياتار ؛ كاهن؛ قبيلة ليفي</v>
      </c>
    </row>
    <row r="121" ht="15.75" customHeight="1">
      <c r="A121" s="1" t="s">
        <v>147</v>
      </c>
      <c r="B121" s="2" t="s">
        <v>148</v>
      </c>
      <c r="C121" s="2"/>
    </row>
    <row r="122" ht="15.75" customHeight="1">
      <c r="B122" s="2" t="s">
        <v>149</v>
      </c>
      <c r="C122" s="2" t="s">
        <v>150</v>
      </c>
    </row>
    <row r="123" ht="15.75" customHeight="1">
      <c r="A123" s="2" t="s">
        <v>4</v>
      </c>
      <c r="B123" s="2" t="str">
        <f>IFERROR(__xludf.DUMMYFUNCTION("CONCAT(""&lt;"",GOOGLETRANSLATE(B122,""en"",""ar""))"),"&lt;أبيناداب")</f>
        <v>&lt;أبيناداب</v>
      </c>
      <c r="C123" s="2" t="str">
        <f>IFERROR(__xludf.DUMMYFUNCTION("CONCAT(""&lt;"",GOOGLETRANSLATE(C122,""en"",""ar""))"),"&lt;(أ) أبيناداب ؛ رجل من كيريث جيرم ؛ (ب) أبيناداب ؛ ابن جيسي شقيق ديفيد قبيلة يهوذا (ج) أبيناداب ؛ ابن الملك شاول قبيلة بنيامين")</f>
        <v>&lt;(أ) أبيناداب ؛ رجل من كيريث جيرم ؛ (ب) أبيناداب ؛ ابن جيسي شقيق ديفيد قبيلة يهوذا (ج) أبيناداب ؛ ابن الملك شاول قبيلة بنيامين</v>
      </c>
    </row>
    <row r="124" ht="15.75" customHeight="1">
      <c r="A124" s="1" t="s">
        <v>151</v>
      </c>
      <c r="B124" s="2" t="s">
        <v>152</v>
      </c>
      <c r="C124" s="2"/>
    </row>
    <row r="125" ht="15.75" customHeight="1">
      <c r="B125" s="2" t="s">
        <v>153</v>
      </c>
      <c r="C125" s="2" t="s">
        <v>154</v>
      </c>
    </row>
    <row r="126" ht="15.75" customHeight="1">
      <c r="A126" s="2" t="s">
        <v>4</v>
      </c>
      <c r="B126" s="2" t="str">
        <f>IFERROR(__xludf.DUMMYFUNCTION("CONCAT(""&lt;"",GOOGLETRANSLATE(B125,""en"",""ar""))"),"&lt;أبينوام")</f>
        <v>&lt;أبينوام</v>
      </c>
      <c r="C126" s="2" t="str">
        <f>IFERROR(__xludf.DUMMYFUNCTION("CONCAT(""&lt;"",GOOGLETRANSLATE(C125,""en"",""ar""))"),"&lt;أبينوام والد باراك")</f>
        <v>&lt;أبينوام والد باراك</v>
      </c>
    </row>
    <row r="127" ht="15.75" customHeight="1">
      <c r="A127" s="1" t="s">
        <v>155</v>
      </c>
      <c r="B127" s="2" t="s">
        <v>156</v>
      </c>
      <c r="C127" s="2"/>
    </row>
    <row r="128" ht="15.75" customHeight="1">
      <c r="B128" s="2" t="s">
        <v>157</v>
      </c>
      <c r="C128" s="2" t="s">
        <v>158</v>
      </c>
    </row>
    <row r="129" ht="15.75" customHeight="1">
      <c r="A129" s="2" t="s">
        <v>4</v>
      </c>
      <c r="B129" s="2" t="str">
        <f>IFERROR(__xludf.DUMMYFUNCTION("CONCAT(""&lt;"",GOOGLETRANSLATE(B128,""en"",""ar""))"),"&lt;ebiasaph")</f>
        <v>&lt;ebiasaph</v>
      </c>
      <c r="C129" s="2" t="str">
        <f>IFERROR(__xludf.DUMMYFUNCTION("CONCAT(""&lt;"",GOOGLETRANSLATE(C128,""en"",""ar""))"),"&lt;ebiasaph ابن الكاناه. سليل كوهاث ؛ سلف هيمان قبيلة ليفي")</f>
        <v>&lt;ebiasaph ابن الكاناه. سليل كوهاث ؛ سلف هيمان قبيلة ليفي</v>
      </c>
    </row>
    <row r="130" ht="15.75" customHeight="1">
      <c r="A130" s="1" t="s">
        <v>159</v>
      </c>
      <c r="B130" s="2" t="s">
        <v>160</v>
      </c>
      <c r="C130" s="2"/>
    </row>
    <row r="131" ht="15.75" customHeight="1">
      <c r="B131" s="2" t="s">
        <v>161</v>
      </c>
      <c r="C131" s="2" t="s">
        <v>162</v>
      </c>
    </row>
    <row r="132" ht="15.75" customHeight="1">
      <c r="A132" s="2" t="s">
        <v>4</v>
      </c>
      <c r="B132" s="2" t="str">
        <f>IFERROR(__xludf.DUMMYFUNCTION("CONCAT(""&lt;"",GOOGLETRANSLATE(B131,""en"",""ar""))"),"&lt;أبيزر")</f>
        <v>&lt;أبيزر</v>
      </c>
      <c r="C132" s="2" t="str">
        <f>IFERROR(__xludf.DUMMYFUNCTION("CONCAT(""&lt;"",GOOGLETRANSLATE(C131,""en"",""ar""))"),"&lt;(أ) أبيزر ؛ نجل هاموليتشث. سلف العشيرة. قبيلة ماناسه ؛ (ب) أبيزر ؛ رجل")</f>
        <v>&lt;(أ) أبيزر ؛ نجل هاموليتشث. سلف العشيرة. قبيلة ماناسه ؛ (ب) أبيزر ؛ رجل</v>
      </c>
    </row>
    <row r="133" ht="15.75" customHeight="1">
      <c r="A133" s="1" t="s">
        <v>163</v>
      </c>
      <c r="B133" s="2" t="s">
        <v>164</v>
      </c>
      <c r="C133" s="2"/>
    </row>
    <row r="134" ht="15.75" customHeight="1">
      <c r="B134" s="2" t="s">
        <v>165</v>
      </c>
      <c r="C134" s="2" t="s">
        <v>166</v>
      </c>
    </row>
    <row r="135" ht="15.75" customHeight="1">
      <c r="A135" s="2" t="s">
        <v>4</v>
      </c>
      <c r="B135" s="2" t="str">
        <f>IFERROR(__xludf.DUMMYFUNCTION("CONCAT(""&lt;"",GOOGLETRANSLATE(B134,""en"",""ar""))"),"&lt;abi-albon")</f>
        <v>&lt;abi-albon</v>
      </c>
      <c r="C135" s="2" t="str">
        <f>IFERROR(__xludf.DUMMYFUNCTION("CONCAT(""&lt;"",GOOGLETRANSLATE(C134,""en"",""ar""))"),"&lt;abi-albon = ""والدي هو الله"" أو ""أبي قوي"" محارب في زمن الملك داود")</f>
        <v>&lt;abi-albon = "والدي هو الله" أو "أبي قوي" محارب في زمن الملك داود</v>
      </c>
    </row>
    <row r="136" ht="15.75" customHeight="1">
      <c r="A136" s="1" t="s">
        <v>167</v>
      </c>
      <c r="B136" s="2" t="s">
        <v>168</v>
      </c>
      <c r="C136" s="2"/>
    </row>
    <row r="137" ht="15.75" customHeight="1">
      <c r="B137" s="2" t="s">
        <v>169</v>
      </c>
      <c r="C137" s="2" t="s">
        <v>170</v>
      </c>
    </row>
    <row r="138" ht="15.75" customHeight="1">
      <c r="A138" s="2" t="s">
        <v>4</v>
      </c>
      <c r="B138" s="2" t="str">
        <f>IFERROR(__xludf.DUMMYFUNCTION("CONCAT(""&lt;"",GOOGLETRANSLATE(B137,""en"",""ar""))"),"&lt;الجبار")</f>
        <v>&lt;الجبار</v>
      </c>
      <c r="C138" s="2" t="str">
        <f>IFERROR(__xludf.DUMMYFUNCTION("CONCAT(""&lt;"",GOOGLETRANSLATE(C137,""en"",""ar""))"),"&lt;الأقوياء؛ يستخدم فقط الله نفسه")</f>
        <v>&lt;الأقوياء؛ يستخدم فقط الله نفسه</v>
      </c>
    </row>
    <row r="139" ht="15.75" customHeight="1">
      <c r="A139" s="1" t="s">
        <v>171</v>
      </c>
      <c r="B139" s="2" t="s">
        <v>172</v>
      </c>
      <c r="C139" s="2"/>
    </row>
    <row r="140" ht="15.75" customHeight="1">
      <c r="B140" s="2" t="s">
        <v>169</v>
      </c>
      <c r="C140" s="2" t="s">
        <v>173</v>
      </c>
    </row>
    <row r="141" ht="15.75" customHeight="1">
      <c r="A141" s="2" t="s">
        <v>4</v>
      </c>
      <c r="B141" s="2" t="str">
        <f>IFERROR(__xludf.DUMMYFUNCTION("CONCAT(""&lt;"",GOOGLETRANSLATE(B140,""en"",""ar""))"),"&lt;الجبار")</f>
        <v>&lt;الجبار</v>
      </c>
      <c r="C141" s="2" t="str">
        <f>IFERROR(__xludf.DUMMYFUNCTION("CONCAT(""&lt;"",GOOGLETRANSLATE(C140,""en"",""ar""))"),"&lt;(حصان؛ (ب) الثور. (ج) شخص قوي ، أقوياء ؛ (د) زعيم ، رئيس ؛ (هـ) عنيد")</f>
        <v>&lt;(حصان؛ (ب) الثور. (ج) شخص قوي ، أقوياء ؛ (د) زعيم ، رئيس ؛ (هـ) عنيد</v>
      </c>
    </row>
    <row r="142" ht="15.75" customHeight="1">
      <c r="A142" s="1" t="s">
        <v>174</v>
      </c>
      <c r="B142" s="2" t="s">
        <v>175</v>
      </c>
      <c r="C142" s="2"/>
    </row>
    <row r="143" ht="15.75" customHeight="1">
      <c r="B143" s="2" t="s">
        <v>176</v>
      </c>
      <c r="C143" s="2" t="s">
        <v>177</v>
      </c>
    </row>
    <row r="144" ht="15.75" customHeight="1">
      <c r="A144" s="2" t="s">
        <v>4</v>
      </c>
      <c r="B144" s="2" t="str">
        <f>IFERROR(__xludf.DUMMYFUNCTION("CONCAT(""&lt;"",GOOGLETRANSLATE(B143,""en"",""ar""))"),"&lt;أبرام")</f>
        <v>&lt;أبرام</v>
      </c>
      <c r="C144" s="2" t="str">
        <f>IFERROR(__xludf.DUMMYFUNCTION("CONCAT(""&lt;"",GOOGLETRANSLATE(C143,""en"",""ar""))"),"&lt;(أ) أبيرام ؛ رجل؛ قبيلة روبن (ب) أبيرام ؛ ابن هيل")</f>
        <v>&lt;(أ) أبيرام ؛ رجل؛ قبيلة روبن (ب) أبيرام ؛ ابن هيل</v>
      </c>
    </row>
    <row r="145" ht="15.75" customHeight="1">
      <c r="A145" s="1" t="s">
        <v>178</v>
      </c>
      <c r="B145" s="2" t="s">
        <v>179</v>
      </c>
      <c r="C145" s="2"/>
    </row>
    <row r="146" ht="15.75" customHeight="1">
      <c r="B146" s="2" t="s">
        <v>180</v>
      </c>
      <c r="C146" s="2" t="s">
        <v>181</v>
      </c>
    </row>
    <row r="147" ht="15.75" customHeight="1">
      <c r="A147" s="2" t="s">
        <v>4</v>
      </c>
      <c r="B147" s="2" t="str">
        <f>IFERROR(__xludf.DUMMYFUNCTION("CONCAT(""&lt;"",GOOGLETRANSLATE(B146,""en"",""ar""))"),"&lt;أبيشاج")</f>
        <v>&lt;أبيشاج</v>
      </c>
      <c r="C147" s="2" t="str">
        <f>IFERROR(__xludf.DUMMYFUNCTION("CONCAT(""&lt;"",GOOGLETRANSLATE(C146,""en"",""ar""))"),"&lt;أبيشاج محظية ديفيد")</f>
        <v>&lt;أبيشاج محظية ديفيد</v>
      </c>
    </row>
    <row r="148" ht="15.75" customHeight="1">
      <c r="A148" s="1" t="s">
        <v>182</v>
      </c>
      <c r="B148" s="2" t="s">
        <v>183</v>
      </c>
      <c r="C148" s="2"/>
    </row>
    <row r="149" ht="15.75" customHeight="1">
      <c r="B149" s="2" t="s">
        <v>184</v>
      </c>
      <c r="C149" s="2" t="s">
        <v>185</v>
      </c>
    </row>
    <row r="150" ht="15.75" customHeight="1">
      <c r="A150" s="2" t="s">
        <v>4</v>
      </c>
      <c r="B150" s="2" t="str">
        <f>IFERROR(__xludf.DUMMYFUNCTION("CONCAT(""&lt;"",GOOGLETRANSLATE(B149,""en"",""ar""))"),"&lt;أبيشوا")</f>
        <v>&lt;أبيشوا</v>
      </c>
      <c r="C150" s="2" t="str">
        <f>IFERROR(__xludf.DUMMYFUNCTION("CONCAT(""&lt;"",GOOGLETRANSLATE(C149,""en"",""ar""))"),"&lt;(أ) أبيشوا ؛ ابن فينهاس. الكاهن الاكبر؛ قبيلة ليفي (ب) أبيشوا ؛ ابن بيلا قبيلة بنيامين")</f>
        <v>&lt;(أ) أبيشوا ؛ ابن فينهاس. الكاهن الاكبر؛ قبيلة ليفي (ب) أبيشوا ؛ ابن بيلا قبيلة بنيامين</v>
      </c>
    </row>
    <row r="151" ht="15.75" customHeight="1">
      <c r="A151" s="1" t="s">
        <v>186</v>
      </c>
      <c r="B151" s="2" t="s">
        <v>187</v>
      </c>
      <c r="C151" s="2"/>
    </row>
    <row r="152" ht="15.75" customHeight="1">
      <c r="B152" s="2" t="s">
        <v>188</v>
      </c>
      <c r="C152" s="2" t="s">
        <v>189</v>
      </c>
    </row>
    <row r="153" ht="15.75" customHeight="1">
      <c r="A153" s="2" t="s">
        <v>4</v>
      </c>
      <c r="B153" s="2" t="str">
        <f>IFERROR(__xludf.DUMMYFUNCTION("CONCAT(""&lt;"",GOOGLETRANSLATE(B152,""en"",""ar""))"),"&lt;أبيشور")</f>
        <v>&lt;أبيشور</v>
      </c>
      <c r="C153" s="2" t="str">
        <f>IFERROR(__xludf.DUMMYFUNCTION("CONCAT(""&lt;"",GOOGLETRANSLATE(C152,""en"",""ar""))"),"&lt;أبيشور نسل Jerahmeel ؛ قبيلة يهوذا")</f>
        <v>&lt;أبيشور نسل Jerahmeel ؛ قبيلة يهوذا</v>
      </c>
    </row>
    <row r="154" ht="15.75" customHeight="1">
      <c r="A154" s="1" t="s">
        <v>190</v>
      </c>
      <c r="B154" s="2" t="s">
        <v>191</v>
      </c>
      <c r="C154" s="2"/>
    </row>
    <row r="155" ht="15.75" customHeight="1">
      <c r="B155" s="2" t="s">
        <v>192</v>
      </c>
      <c r="C155" s="2" t="s">
        <v>193</v>
      </c>
    </row>
    <row r="156" ht="15.75" customHeight="1">
      <c r="A156" s="2" t="s">
        <v>4</v>
      </c>
      <c r="B156" s="2" t="str">
        <f>IFERROR(__xludf.DUMMYFUNCTION("CONCAT(""&lt;"",GOOGLETRANSLATE(B155,""en"",""ar""))"),"&lt;أبيشاي")</f>
        <v>&lt;أبيشاي</v>
      </c>
      <c r="C156" s="2" t="str">
        <f>IFERROR(__xludf.DUMMYFUNCTION("CONCAT(""&lt;"",GOOGLETRANSLATE(C155,""en"",""ar""))"),"&lt;أبيشاي نجل زيرويا ، أخت ديفيد ؛ محارب")</f>
        <v>&lt;أبيشاي نجل زيرويا ، أخت ديفيد ؛ محارب</v>
      </c>
    </row>
    <row r="157" ht="15.75" customHeight="1">
      <c r="A157" s="1" t="s">
        <v>194</v>
      </c>
      <c r="B157" s="2" t="s">
        <v>195</v>
      </c>
      <c r="C157" s="2"/>
    </row>
    <row r="158" ht="15.75" customHeight="1">
      <c r="B158" s="2" t="s">
        <v>196</v>
      </c>
      <c r="C158" s="2" t="s">
        <v>197</v>
      </c>
    </row>
    <row r="159" ht="15.75" customHeight="1">
      <c r="A159" s="2" t="s">
        <v>4</v>
      </c>
      <c r="B159" s="2" t="str">
        <f>IFERROR(__xludf.DUMMYFUNCTION("CONCAT(""&lt;"",GOOGLETRANSLATE(B158,""en"",""ar""))"),"&lt;أبشالوم")</f>
        <v>&lt;أبشالوم</v>
      </c>
      <c r="C159" s="2" t="str">
        <f>IFERROR(__xludf.DUMMYFUNCTION("CONCAT(""&lt;"",GOOGLETRANSLATE(C158,""en"",""ar""))"),"&lt;أبشالوم والد مواكا ، زوجة ريهوبوم ؛ (أ) أبشالوم. ابن داود")</f>
        <v>&lt;أبشالوم والد مواكا ، زوجة ريهوبوم ؛ (أ) أبشالوم. ابن داود</v>
      </c>
    </row>
    <row r="160" ht="15.75" customHeight="1">
      <c r="A160" s="1" t="s">
        <v>198</v>
      </c>
      <c r="B160" s="2" t="s">
        <v>199</v>
      </c>
      <c r="C160" s="2"/>
    </row>
    <row r="161" ht="15.75" customHeight="1">
      <c r="B161" s="2" t="s">
        <v>200</v>
      </c>
      <c r="C161" s="2" t="s">
        <v>201</v>
      </c>
    </row>
    <row r="162" ht="15.75" customHeight="1">
      <c r="A162" s="2" t="s">
        <v>4</v>
      </c>
      <c r="B162" s="2" t="str">
        <f>IFERROR(__xludf.DUMMYFUNCTION("CONCAT(""&lt;"",GOOGLETRANSLATE(B161,""en"",""ar""))"),"&lt;abiathar")</f>
        <v>&lt;abiathar</v>
      </c>
      <c r="C162" s="2" t="str">
        <f>IFERROR(__xludf.DUMMYFUNCTION("CONCAT(""&lt;"",GOOGLETRANSLATE(C161,""en"",""ar""))"),"&lt;abiathar ابن Ahimelech ؛ كاهن؛ وقت الملك داود")</f>
        <v>&lt;abiathar ابن Ahimelech ؛ كاهن؛ وقت الملك داود</v>
      </c>
    </row>
    <row r="163" ht="15.75" customHeight="1">
      <c r="A163" s="1" t="s">
        <v>202</v>
      </c>
      <c r="B163" s="2" t="s">
        <v>203</v>
      </c>
      <c r="C163" s="2"/>
    </row>
    <row r="164" ht="15.75" customHeight="1">
      <c r="B164" s="2" t="s">
        <v>204</v>
      </c>
      <c r="C164" s="2" t="s">
        <v>205</v>
      </c>
    </row>
    <row r="165" ht="15.75" customHeight="1">
      <c r="A165" s="2" t="s">
        <v>4</v>
      </c>
      <c r="B165" s="2" t="str">
        <f>IFERROR(__xludf.DUMMYFUNCTION("CONCAT(""&lt;"",GOOGLETRANSLATE(B164,""en"",""ar""))"),"&lt;لنشمر")</f>
        <v>&lt;لنشمر</v>
      </c>
      <c r="C165" s="2" t="str">
        <f>IFERROR(__xludf.DUMMYFUNCTION("CONCAT(""&lt;"",GOOGLETRANSLATE(C164,""en"",""ar""))"),"&lt;HITP. لالتقدم إلى الأعلى ، دوامة")</f>
        <v>&lt;HITP. لالتقدم إلى الأعلى ، دوامة</v>
      </c>
    </row>
    <row r="166" ht="15.75" customHeight="1">
      <c r="A166" s="1" t="s">
        <v>206</v>
      </c>
      <c r="B166" s="2" t="s">
        <v>207</v>
      </c>
      <c r="C166" s="2"/>
    </row>
    <row r="167" ht="15.75" customHeight="1">
      <c r="B167" s="2" t="s">
        <v>208</v>
      </c>
      <c r="C167" s="2" t="s">
        <v>209</v>
      </c>
    </row>
    <row r="168" ht="15.75" customHeight="1">
      <c r="A168" s="2" t="s">
        <v>4</v>
      </c>
      <c r="B168" s="2" t="str">
        <f>IFERROR(__xludf.DUMMYFUNCTION("CONCAT(""&lt;"",GOOGLETRANSLATE(B167,""en"",""ar""))"),"&lt;حدادا")</f>
        <v>&lt;حدادا</v>
      </c>
      <c r="C168" s="2" t="str">
        <f>IFERROR(__xludf.DUMMYFUNCTION("CONCAT(""&lt;"",GOOGLETRANSLATE(C167,""en"",""ar""))"),"&lt;(أ) QAL إلى الرثاء ؛ (ب) HITP. حدادا؛ (ج) HIF. للتسبب في الحداد")</f>
        <v>&lt;(أ) QAL إلى الرثاء ؛ (ب) HITP. حدادا؛ (ج) HIF. للتسبب في الحداد</v>
      </c>
    </row>
    <row r="169" ht="15.75" customHeight="1">
      <c r="A169" s="1" t="s">
        <v>210</v>
      </c>
      <c r="B169" s="2" t="s">
        <v>211</v>
      </c>
      <c r="C169" s="2"/>
    </row>
    <row r="170" ht="15.75" customHeight="1">
      <c r="B170" s="2" t="s">
        <v>212</v>
      </c>
      <c r="C170" s="2" t="s">
        <v>212</v>
      </c>
    </row>
    <row r="171" ht="15.75" customHeight="1">
      <c r="A171" s="2" t="s">
        <v>4</v>
      </c>
      <c r="B171" s="2" t="str">
        <f>IFERROR(__xludf.DUMMYFUNCTION("CONCAT(""&lt;"",GOOGLETRANSLATE(B170,""en"",""ar""))"),"&lt;الحداد")</f>
        <v>&lt;الحداد</v>
      </c>
      <c r="C171" s="2" t="str">
        <f>IFERROR(__xludf.DUMMYFUNCTION("CONCAT(""&lt;"",GOOGLETRANSLATE(C170,""en"",""ar""))"),"&lt;الحداد")</f>
        <v>&lt;الحداد</v>
      </c>
    </row>
    <row r="172" ht="15.75" customHeight="1">
      <c r="A172" s="1" t="s">
        <v>213</v>
      </c>
      <c r="B172" s="2" t="s">
        <v>214</v>
      </c>
      <c r="C172" s="2"/>
    </row>
    <row r="173" ht="15.75" customHeight="1">
      <c r="B173" s="2" t="s">
        <v>215</v>
      </c>
    </row>
    <row r="174" ht="15.75" customHeight="1">
      <c r="A174" s="2" t="s">
        <v>4</v>
      </c>
      <c r="B174" s="2" t="str">
        <f>IFERROR(__xludf.DUMMYFUNCTION("CONCAT(""&lt;"",GOOGLETRANSLATE(B173,""en"",""ar""))"),"&lt;مرج")</f>
        <v>&lt;مرج</v>
      </c>
      <c r="C174" s="2"/>
    </row>
    <row r="175" ht="15.75" customHeight="1">
      <c r="A175" s="1" t="s">
        <v>216</v>
      </c>
      <c r="B175" s="2" t="s">
        <v>217</v>
      </c>
      <c r="C175" s="2"/>
    </row>
    <row r="176" ht="15.75" customHeight="1">
      <c r="B176" s="2" t="s">
        <v>218</v>
      </c>
      <c r="C176" s="2" t="s">
        <v>219</v>
      </c>
    </row>
    <row r="177" ht="15.75" customHeight="1">
      <c r="A177" s="2" t="s">
        <v>4</v>
      </c>
      <c r="B177" s="2" t="str">
        <f>IFERROR(__xludf.DUMMYFUNCTION("CONCAT(""&lt;"",GOOGLETRANSLATE(B176,""en"",""ar""))"),"&lt;هابيل")</f>
        <v>&lt;هابيل</v>
      </c>
      <c r="C177" s="2" t="str">
        <f>IFERROR(__xludf.DUMMYFUNCTION("CONCAT(""&lt;"",GOOGLETRANSLATE(C176,""en"",""ar""))"),"&lt;بلدة؛ النفتالي")</f>
        <v>&lt;بلدة؛ النفتالي</v>
      </c>
    </row>
    <row r="178" ht="15.75" customHeight="1">
      <c r="A178" s="1" t="s">
        <v>220</v>
      </c>
      <c r="B178" s="2" t="s">
        <v>221</v>
      </c>
      <c r="C178" s="2"/>
    </row>
    <row r="179" ht="15.75" customHeight="1">
      <c r="B179" s="2" t="s">
        <v>212</v>
      </c>
      <c r="C179" s="2" t="s">
        <v>212</v>
      </c>
    </row>
    <row r="180" ht="15.75" customHeight="1">
      <c r="A180" s="2" t="s">
        <v>4</v>
      </c>
      <c r="B180" s="2" t="str">
        <f>IFERROR(__xludf.DUMMYFUNCTION("CONCAT(""&lt;"",GOOGLETRANSLATE(B179,""en"",""ar""))"),"&lt;الحداد")</f>
        <v>&lt;الحداد</v>
      </c>
      <c r="C180" s="2" t="str">
        <f>IFERROR(__xludf.DUMMYFUNCTION("CONCAT(""&lt;"",GOOGLETRANSLATE(C179,""en"",""ar""))"),"&lt;الحداد")</f>
        <v>&lt;الحداد</v>
      </c>
    </row>
    <row r="181" ht="15.75" customHeight="1">
      <c r="A181" s="1" t="s">
        <v>222</v>
      </c>
      <c r="B181" s="2" t="s">
        <v>223</v>
      </c>
      <c r="C181" s="2"/>
    </row>
    <row r="182" ht="15.75" customHeight="1">
      <c r="B182" s="2" t="s">
        <v>224</v>
      </c>
      <c r="C182" s="2" t="s">
        <v>225</v>
      </c>
    </row>
    <row r="183" ht="15.75" customHeight="1">
      <c r="A183" s="2" t="s">
        <v>4</v>
      </c>
      <c r="B183" s="2" t="str">
        <f>IFERROR(__xludf.DUMMYFUNCTION("CONCAT(""&lt;"",GOOGLETRANSLATE(B182,""en"",""ar""))"),"&lt;حقا")</f>
        <v>&lt;حقا</v>
      </c>
      <c r="C183" s="2" t="str">
        <f>IFERROR(__xludf.DUMMYFUNCTION("CONCAT(""&lt;"",GOOGLETRANSLATE(C182,""en"",""ar""))"),"&lt;(أ) تدخل إدخال بيان قد لا يرضي المستمع ؛ (ب) الاقتران: ولكن ، ولكن")</f>
        <v>&lt;(أ) تدخل إدخال بيان قد لا يرضي المستمع ؛ (ب) الاقتران: ولكن ، ولكن</v>
      </c>
    </row>
    <row r="184" ht="15.75" customHeight="1">
      <c r="A184" s="1" t="s">
        <v>226</v>
      </c>
      <c r="B184" s="2" t="s">
        <v>227</v>
      </c>
      <c r="C184" s="2"/>
    </row>
    <row r="185" ht="15.75" customHeight="1">
      <c r="B185" s="2" t="s">
        <v>228</v>
      </c>
      <c r="C185" s="2" t="s">
        <v>229</v>
      </c>
    </row>
    <row r="186" ht="15.75" customHeight="1">
      <c r="A186" s="2" t="s">
        <v>4</v>
      </c>
      <c r="B186" s="2" t="str">
        <f>IFERROR(__xludf.DUMMYFUNCTION("CONCAT(""&lt;"",GOOGLETRANSLATE(B185,""en"",""ar""))"),"&lt;هابيل-بيث ماكاه")</f>
        <v>&lt;هابيل-بيث ماكاه</v>
      </c>
      <c r="C186" s="2" t="str">
        <f>IFERROR(__xludf.DUMMYFUNCTION("CONCAT(""&lt;"",GOOGLETRANSLATE(C185,""en"",""ar""))"),"&lt;هابيل بيث ماكاه ؛ بلدة؛ النفتالي")</f>
        <v>&lt;هابيل بيث ماكاه ؛ بلدة؛ النفتالي</v>
      </c>
    </row>
    <row r="187" ht="15.75" customHeight="1">
      <c r="A187" s="1" t="s">
        <v>230</v>
      </c>
      <c r="B187" s="2" t="s">
        <v>231</v>
      </c>
      <c r="C187" s="2"/>
    </row>
    <row r="188" ht="15.75" customHeight="1">
      <c r="B188" s="2" t="s">
        <v>232</v>
      </c>
      <c r="C188" s="2" t="s">
        <v>233</v>
      </c>
    </row>
    <row r="189" ht="15.75" customHeight="1">
      <c r="A189" s="2" t="s">
        <v>4</v>
      </c>
      <c r="B189" s="2" t="str">
        <f>IFERROR(__xludf.DUMMYFUNCTION("CONCAT(""&lt;"",GOOGLETRANSLATE(B188,""en"",""ar""))"),"&lt;Abel-shittim")</f>
        <v>&lt;Abel-shittim</v>
      </c>
      <c r="C189" s="2" t="str">
        <f>IFERROR(__xludf.DUMMYFUNCTION("CONCAT(""&lt;"",GOOGLETRANSLATE(C188,""en"",""ar""))"),"&lt;Abel-Shittim بلدة؛ شرق نهر الأردن")</f>
        <v>&lt;Abel-Shittim بلدة؛ شرق نهر الأردن</v>
      </c>
    </row>
    <row r="190" ht="15.75" customHeight="1">
      <c r="A190" s="1" t="s">
        <v>234</v>
      </c>
      <c r="B190" s="2" t="s">
        <v>235</v>
      </c>
      <c r="C190" s="2"/>
    </row>
    <row r="191" ht="15.75" customHeight="1">
      <c r="B191" s="2" t="s">
        <v>236</v>
      </c>
      <c r="C191" s="2" t="s">
        <v>237</v>
      </c>
    </row>
    <row r="192" ht="15.75" customHeight="1">
      <c r="A192" s="2" t="s">
        <v>4</v>
      </c>
      <c r="B192" s="2" t="str">
        <f>IFERROR(__xludf.DUMMYFUNCTION("CONCAT(""&lt;"",GOOGLETRANSLATE(B191,""en"",""ar""))"),"&lt;أبيلراميم")</f>
        <v>&lt;أبيلراميم</v>
      </c>
      <c r="C192" s="2" t="str">
        <f>IFERROR(__xludf.DUMMYFUNCTION("CONCAT(""&lt;"",GOOGLETRANSLATE(C191,""en"",""ar""))"),"&lt;أبيلراميم بلدة أو قرية عمون")</f>
        <v>&lt;أبيلراميم بلدة أو قرية عمون</v>
      </c>
    </row>
    <row r="193" ht="15.75" customHeight="1">
      <c r="A193" s="1" t="s">
        <v>238</v>
      </c>
      <c r="B193" s="2" t="s">
        <v>239</v>
      </c>
      <c r="C193" s="2"/>
    </row>
    <row r="194" ht="15.75" customHeight="1">
      <c r="B194" s="2" t="s">
        <v>240</v>
      </c>
      <c r="C194" s="2" t="s">
        <v>241</v>
      </c>
    </row>
    <row r="195" ht="15.75" customHeight="1">
      <c r="A195" s="2" t="s">
        <v>4</v>
      </c>
      <c r="B195" s="2" t="str">
        <f>IFERROR(__xludf.DUMMYFUNCTION("CONCAT(""&lt;"",GOOGLETRANSLATE(B194,""en"",""ar""))"),"&lt;هابيل ميهوله")</f>
        <v>&lt;هابيل ميهوله</v>
      </c>
      <c r="C195" s="2" t="str">
        <f>IFERROR(__xludf.DUMMYFUNCTION("CONCAT(""&lt;"",GOOGLETRANSLATE(C194,""en"",""ar""))"),"&lt;هابيل ميهوله بلدة؛ جيليد")</f>
        <v>&lt;هابيل ميهوله بلدة؛ جيليد</v>
      </c>
    </row>
    <row r="196" ht="15.75" customHeight="1">
      <c r="A196" s="1" t="s">
        <v>242</v>
      </c>
      <c r="B196" s="2" t="s">
        <v>243</v>
      </c>
      <c r="C196" s="2"/>
    </row>
    <row r="197" ht="15.75" customHeight="1">
      <c r="B197" s="2" t="s">
        <v>244</v>
      </c>
      <c r="C197" s="2" t="s">
        <v>245</v>
      </c>
    </row>
    <row r="198" ht="15.75" customHeight="1">
      <c r="A198" s="2" t="s">
        <v>4</v>
      </c>
      <c r="B198" s="2" t="str">
        <f>IFERROR(__xludf.DUMMYFUNCTION("CONCAT(""&lt;"",GOOGLETRANSLATE(B197,""en"",""ar""))"),"&lt;Abel-maim")</f>
        <v>&lt;Abel-maim</v>
      </c>
      <c r="C198" s="2" t="str">
        <f>IFERROR(__xludf.DUMMYFUNCTION("CONCAT(""&lt;"",GOOGLETRANSLATE(C197,""en"",""ar""))"),"&lt;Abel-maim بلدة؛ النفتالي")</f>
        <v>&lt;Abel-maim بلدة؛ النفتالي</v>
      </c>
    </row>
    <row r="199" ht="15.75" customHeight="1">
      <c r="A199" s="1" t="s">
        <v>246</v>
      </c>
      <c r="B199" s="2" t="s">
        <v>247</v>
      </c>
      <c r="C199" s="2"/>
    </row>
    <row r="200" ht="15.75" customHeight="1">
      <c r="B200" s="2" t="s">
        <v>248</v>
      </c>
      <c r="C200" s="2" t="s">
        <v>249</v>
      </c>
    </row>
    <row r="201" ht="15.75" customHeight="1">
      <c r="A201" s="2" t="s">
        <v>4</v>
      </c>
      <c r="B201" s="2" t="str">
        <f>IFERROR(__xludf.DUMMYFUNCTION("CONCAT(""&lt;"",GOOGLETRANSLATE(B200,""en"",""ar""))"),"&lt;Abel Mizraim")</f>
        <v>&lt;Abel Mizraim</v>
      </c>
      <c r="C201" s="2" t="str">
        <f>IFERROR(__xludf.DUMMYFUNCTION("CONCAT(""&lt;"",GOOGLETRANSLATE(C200,""en"",""ar""))"),"&lt;Abel Mizraim موقع؛ شرق الأردن")</f>
        <v>&lt;Abel Mizraim موقع؛ شرق الأردن</v>
      </c>
    </row>
    <row r="202" ht="15.75" customHeight="1">
      <c r="A202" s="1" t="s">
        <v>250</v>
      </c>
      <c r="B202" s="2" t="s">
        <v>251</v>
      </c>
      <c r="C202" s="2"/>
    </row>
    <row r="203" ht="15.75" customHeight="1">
      <c r="B203" s="2" t="s">
        <v>252</v>
      </c>
      <c r="C203" s="2" t="s">
        <v>252</v>
      </c>
    </row>
    <row r="204" ht="15.75" customHeight="1">
      <c r="A204" s="2" t="s">
        <v>4</v>
      </c>
      <c r="B204" s="2" t="str">
        <f>IFERROR(__xludf.DUMMYFUNCTION("CONCAT(""&lt;"",GOOGLETRANSLATE(B203,""en"",""ar""))"),"&lt;حجر")</f>
        <v>&lt;حجر</v>
      </c>
      <c r="C204" s="2" t="str">
        <f>IFERROR(__xludf.DUMMYFUNCTION("CONCAT(""&lt;"",GOOGLETRANSLATE(C203,""en"",""ar""))"),"&lt;حجر")</f>
        <v>&lt;حجر</v>
      </c>
    </row>
    <row r="205" ht="15.75" customHeight="1">
      <c r="A205" s="1" t="s">
        <v>253</v>
      </c>
      <c r="B205" s="2" t="s">
        <v>254</v>
      </c>
      <c r="C205" s="2"/>
    </row>
    <row r="206" ht="15.75" customHeight="1">
      <c r="B206" s="2" t="s">
        <v>252</v>
      </c>
      <c r="C206" s="2" t="s">
        <v>252</v>
      </c>
    </row>
    <row r="207" ht="15.75" customHeight="1">
      <c r="A207" s="2" t="s">
        <v>4</v>
      </c>
      <c r="B207" s="2" t="str">
        <f>IFERROR(__xludf.DUMMYFUNCTION("CONCAT(""&lt;"",GOOGLETRANSLATE(B206,""en"",""ar""))"),"&lt;حجر")</f>
        <v>&lt;حجر</v>
      </c>
      <c r="C207" s="2" t="str">
        <f>IFERROR(__xludf.DUMMYFUNCTION("CONCAT(""&lt;"",GOOGLETRANSLATE(C206,""en"",""ar""))"),"&lt;حجر")</f>
        <v>&lt;حجر</v>
      </c>
    </row>
    <row r="208" ht="15.75" customHeight="1">
      <c r="A208" s="1" t="s">
        <v>255</v>
      </c>
      <c r="B208" s="2" t="s">
        <v>256</v>
      </c>
      <c r="C208" s="2"/>
    </row>
    <row r="209" ht="15.75" customHeight="1">
      <c r="B209" s="2" t="s">
        <v>257</v>
      </c>
      <c r="C209" s="2" t="s">
        <v>258</v>
      </c>
    </row>
    <row r="210" ht="15.75" customHeight="1">
      <c r="A210" s="2" t="s">
        <v>4</v>
      </c>
      <c r="B210" s="2" t="str">
        <f>IFERROR(__xludf.DUMMYFUNCTION("CONCAT(""&lt;"",GOOGLETRANSLATE(B209,""en"",""ar""))"),"&lt;عجلة")</f>
        <v>&lt;عجلة</v>
      </c>
      <c r="C210" s="2" t="str">
        <f>IFERROR(__xludf.DUMMYFUNCTION("CONCAT(""&lt;"",GOOGLETRANSLATE(C209,""en"",""ar""))"),"&lt;(أ) مقعد منخفض ، براز (تستخدمه القابلات) ؛ (ب) عجلات بوتر")</f>
        <v>&lt;(أ) مقعد منخفض ، براز (تستخدمه القابلات) ؛ (ب) عجلات بوتر</v>
      </c>
    </row>
    <row r="211" ht="15.75" customHeight="1">
      <c r="A211" s="1" t="s">
        <v>259</v>
      </c>
      <c r="B211" s="2" t="s">
        <v>260</v>
      </c>
      <c r="C211" s="2"/>
    </row>
    <row r="212" ht="15.75" customHeight="1">
      <c r="B212" s="2" t="s">
        <v>261</v>
      </c>
      <c r="C212" s="2" t="s">
        <v>261</v>
      </c>
    </row>
    <row r="213" ht="15.75" customHeight="1">
      <c r="A213" s="2" t="s">
        <v>4</v>
      </c>
      <c r="B213" s="2" t="str">
        <f>IFERROR(__xludf.DUMMYFUNCTION("CONCAT(""&lt;"",GOOGLETRANSLATE(B212,""en"",""ar""))"),"&lt;أبانا")</f>
        <v>&lt;أبانا</v>
      </c>
      <c r="C213" s="2" t="str">
        <f>IFERROR(__xludf.DUMMYFUNCTION("CONCAT(""&lt;"",GOOGLETRANSLATE(C212,""en"",""ar""))"),"&lt;أبانا")</f>
        <v>&lt;أبانا</v>
      </c>
    </row>
    <row r="214" ht="15.75" customHeight="1">
      <c r="A214" s="1" t="s">
        <v>262</v>
      </c>
      <c r="B214" s="2" t="s">
        <v>263</v>
      </c>
      <c r="C214" s="2"/>
    </row>
    <row r="215" ht="15.75" customHeight="1">
      <c r="B215" s="2" t="s">
        <v>264</v>
      </c>
      <c r="C215" s="2" t="s">
        <v>265</v>
      </c>
    </row>
    <row r="216" ht="15.75" customHeight="1">
      <c r="A216" s="2" t="s">
        <v>4</v>
      </c>
      <c r="B216" s="2" t="str">
        <f>IFERROR(__xludf.DUMMYFUNCTION("CONCAT(""&lt;"",GOOGLETRANSLATE(B215,""en"",""ar""))"),"&lt;إبن")</f>
        <v>&lt;إبن</v>
      </c>
      <c r="C216" s="2" t="str">
        <f>IFERROR(__xludf.DUMMYFUNCTION("CONCAT(""&lt;"",GOOGLETRANSLATE(C215,""en"",""ar""))"),"&lt;إبنيزر موقع")</f>
        <v>&lt;إبنيزر موقع</v>
      </c>
    </row>
    <row r="217" ht="15.75" customHeight="1">
      <c r="A217" s="1" t="s">
        <v>266</v>
      </c>
      <c r="B217" s="2" t="s">
        <v>267</v>
      </c>
      <c r="C217" s="2"/>
    </row>
    <row r="218" ht="15.75" customHeight="1">
      <c r="B218" s="2" t="s">
        <v>268</v>
      </c>
      <c r="C218" s="2" t="s">
        <v>269</v>
      </c>
    </row>
    <row r="219" ht="15.75" customHeight="1">
      <c r="A219" s="2" t="s">
        <v>4</v>
      </c>
      <c r="B219" s="2" t="str">
        <f>IFERROR(__xludf.DUMMYFUNCTION("CONCAT(""&lt;"",GOOGLETRANSLATE(B218,""en"",""ar""))"),"&lt;حزام")</f>
        <v>&lt;حزام</v>
      </c>
      <c r="C219" s="2" t="str">
        <f>IFERROR(__xludf.DUMMYFUNCTION("CONCAT(""&lt;"",GOOGLETRANSLATE(C218,""en"",""ar""))"),"&lt;وشاح ، حزام (يرتديه أعلى سترة)")</f>
        <v>&lt;وشاح ، حزام (يرتديه أعلى سترة)</v>
      </c>
    </row>
    <row r="220" ht="15.75" customHeight="1">
      <c r="A220" s="1" t="s">
        <v>270</v>
      </c>
      <c r="B220" s="2" t="s">
        <v>271</v>
      </c>
      <c r="C220" s="2"/>
    </row>
    <row r="221" ht="15.75" customHeight="1">
      <c r="B221" s="2" t="s">
        <v>272</v>
      </c>
      <c r="C221" s="2" t="s">
        <v>273</v>
      </c>
    </row>
    <row r="222" ht="15.75" customHeight="1">
      <c r="A222" s="2" t="s">
        <v>4</v>
      </c>
      <c r="B222" s="2" t="str">
        <f>IFERROR(__xludf.DUMMYFUNCTION("CONCAT(""&lt;"",GOOGLETRANSLATE(B221,""en"",""ar""))"),"&lt;أبنر")</f>
        <v>&lt;أبنر</v>
      </c>
      <c r="C222" s="2" t="str">
        <f>IFERROR(__xludf.DUMMYFUNCTION("CONCAT(""&lt;"",GOOGLETRANSLATE(C221,""en"",""ar""))"),"&lt;أبنر رئيس جيش شاول")</f>
        <v>&lt;أبنر رئيس جيش شاول</v>
      </c>
    </row>
    <row r="223" ht="15.75" customHeight="1">
      <c r="A223" s="1" t="s">
        <v>274</v>
      </c>
      <c r="B223" s="2" t="s">
        <v>275</v>
      </c>
      <c r="C223" s="2"/>
    </row>
    <row r="224" ht="15.75" customHeight="1">
      <c r="B224" s="2" t="s">
        <v>276</v>
      </c>
      <c r="C224" s="2" t="s">
        <v>277</v>
      </c>
    </row>
    <row r="225" ht="15.75" customHeight="1">
      <c r="A225" s="2" t="s">
        <v>4</v>
      </c>
      <c r="B225" s="2" t="str">
        <f>IFERROR(__xludf.DUMMYFUNCTION("CONCAT(""&lt;"",GOOGLETRANSLATE(B224,""en"",""ar""))"),"&lt;للتسمين")</f>
        <v>&lt;للتسمين</v>
      </c>
      <c r="C225" s="2" t="str">
        <f>IFERROR(__xludf.DUMMYFUNCTION("CONCAT(""&lt;"",GOOGLETRANSLATE(C224,""en"",""ar""))"),"&lt;QAL للتسمين")</f>
        <v>&lt;QAL للتسمين</v>
      </c>
    </row>
    <row r="226" ht="15.75" customHeight="1">
      <c r="A226" s="1" t="s">
        <v>278</v>
      </c>
      <c r="B226" s="2" t="s">
        <v>279</v>
      </c>
      <c r="C226" s="2"/>
    </row>
    <row r="227" ht="15.75" customHeight="1">
      <c r="B227" s="2" t="s">
        <v>280</v>
      </c>
      <c r="C227" s="2" t="s">
        <v>281</v>
      </c>
    </row>
    <row r="228" ht="15.75" customHeight="1">
      <c r="A228" s="2" t="s">
        <v>4</v>
      </c>
      <c r="B228" s="2" t="str">
        <f>IFERROR(__xludf.DUMMYFUNCTION("CONCAT(""&lt;"",GOOGLETRANSLATE(B227,""en"",""ar""))"),"&lt;دمل")</f>
        <v>&lt;دمل</v>
      </c>
      <c r="C228" s="2" t="str">
        <f>IFERROR(__xludf.DUMMYFUNCTION("CONCAT(""&lt;"",GOOGLETRANSLATE(C227,""en"",""ar""))"),"&lt;بثور ، حويصلات")</f>
        <v>&lt;بثور ، حويصلات</v>
      </c>
    </row>
    <row r="229" ht="15.75" customHeight="1">
      <c r="A229" s="1" t="s">
        <v>282</v>
      </c>
      <c r="B229" s="2" t="s">
        <v>283</v>
      </c>
      <c r="C229" s="2"/>
    </row>
    <row r="230" ht="15.75" customHeight="1">
      <c r="B230" s="2" t="s">
        <v>284</v>
      </c>
      <c r="C230" s="2" t="s">
        <v>285</v>
      </c>
    </row>
    <row r="231" ht="15.75" customHeight="1">
      <c r="A231" s="2" t="s">
        <v>4</v>
      </c>
      <c r="B231" s="2" t="str">
        <f>IFERROR(__xludf.DUMMYFUNCTION("CONCAT(""&lt;"",GOOGLETRANSLATE(B230,""en"",""ar""))"),"&lt;أبيز")</f>
        <v>&lt;أبيز</v>
      </c>
      <c r="C231" s="2" t="str">
        <f>IFERROR(__xludf.DUMMYFUNCTION("CONCAT(""&lt;"",GOOGLETRANSLATE(C230,""en"",""ar""))"),"&lt;إيبيز ؛ بلدة؛ أراضي إيساشار")</f>
        <v>&lt;إيبيز ؛ بلدة؛ أراضي إيساشار</v>
      </c>
    </row>
    <row r="232" ht="15.75" customHeight="1">
      <c r="A232" s="1" t="s">
        <v>286</v>
      </c>
      <c r="B232" s="2" t="s">
        <v>287</v>
      </c>
      <c r="C232" s="2"/>
    </row>
    <row r="233" ht="15.75" customHeight="1">
      <c r="B233" s="2" t="s">
        <v>288</v>
      </c>
      <c r="C233" s="2" t="s">
        <v>289</v>
      </c>
    </row>
    <row r="234" ht="15.75" customHeight="1">
      <c r="A234" s="2" t="s">
        <v>4</v>
      </c>
      <c r="B234" s="2" t="str">
        <f>IFERROR(__xludf.DUMMYFUNCTION("CONCAT(""&lt;"",GOOGLETRANSLATE(B233,""en"",""ar""))"),"&lt;إبزان")</f>
        <v>&lt;إبزان</v>
      </c>
      <c r="C234" s="2" t="str">
        <f>IFERROR(__xludf.DUMMYFUNCTION("CONCAT(""&lt;"",GOOGLETRANSLATE(C233,""en"",""ar""))"),"&lt;إبزان قاضي إسرائيل")</f>
        <v>&lt;إبزان قاضي إسرائيل</v>
      </c>
    </row>
    <row r="235" ht="15.75" customHeight="1">
      <c r="A235" s="1" t="s">
        <v>290</v>
      </c>
      <c r="B235" s="2" t="s">
        <v>291</v>
      </c>
      <c r="C235" s="2"/>
    </row>
    <row r="236" ht="15.75" customHeight="1">
      <c r="B236" s="2" t="s">
        <v>292</v>
      </c>
      <c r="C236" s="2" t="s">
        <v>293</v>
      </c>
    </row>
    <row r="237" ht="15.75" customHeight="1">
      <c r="A237" s="2" t="s">
        <v>4</v>
      </c>
      <c r="B237" s="2" t="str">
        <f>IFERROR(__xludf.DUMMYFUNCTION("CONCAT(""&lt;"",GOOGLETRANSLATE(B236,""en"",""ar""))"),"&lt;للمصارعة")</f>
        <v>&lt;للمصارعة</v>
      </c>
      <c r="C237" s="2" t="str">
        <f>IFERROR(__xludf.DUMMYFUNCTION("CONCAT(""&lt;"",GOOGLETRANSLATE(C236,""en"",""ar""))"),"&lt;نيف. للمصارعة")</f>
        <v>&lt;نيف. للمصارعة</v>
      </c>
    </row>
    <row r="238" ht="15.75" customHeight="1">
      <c r="A238" s="1" t="s">
        <v>294</v>
      </c>
      <c r="B238" s="2" t="s">
        <v>295</v>
      </c>
      <c r="C238" s="2"/>
    </row>
    <row r="239" ht="15.75" customHeight="1">
      <c r="B239" s="2" t="s">
        <v>296</v>
      </c>
      <c r="C239" s="2" t="s">
        <v>297</v>
      </c>
    </row>
    <row r="240" ht="15.75" customHeight="1">
      <c r="A240" s="2" t="s">
        <v>4</v>
      </c>
      <c r="B240" s="2" t="str">
        <f>IFERROR(__xludf.DUMMYFUNCTION("CONCAT(""&lt;"",GOOGLETRANSLATE(B239,""en"",""ar""))"),"&lt;تراب")</f>
        <v>&lt;تراب</v>
      </c>
      <c r="C240" s="2" t="str">
        <f>IFERROR(__xludf.DUMMYFUNCTION("CONCAT(""&lt;"",GOOGLETRANSLATE(C239,""en"",""ar""))"),"&lt;غبار ناعم")</f>
        <v>&lt;غبار ناعم</v>
      </c>
    </row>
    <row r="241" ht="15.75" customHeight="1">
      <c r="A241" s="1" t="s">
        <v>298</v>
      </c>
      <c r="B241" s="2" t="s">
        <v>299</v>
      </c>
      <c r="C241" s="2"/>
    </row>
    <row r="242" ht="15.75" customHeight="1">
      <c r="B242" s="2" t="s">
        <v>300</v>
      </c>
      <c r="C242" s="2" t="s">
        <v>301</v>
      </c>
    </row>
    <row r="243" ht="15.75" customHeight="1">
      <c r="A243" s="2" t="s">
        <v>4</v>
      </c>
      <c r="B243" s="2" t="str">
        <f>IFERROR(__xludf.DUMMYFUNCTION("CONCAT(""&lt;"",GOOGLETRANSLATE(B242,""en"",""ar""))"),"&lt;مسحوق عطري")</f>
        <v>&lt;مسحوق عطري</v>
      </c>
      <c r="C243" s="2" t="str">
        <f>IFERROR(__xludf.DUMMYFUNCTION("CONCAT(""&lt;"",GOOGLETRANSLATE(C242,""en"",""ar""))"),"&lt;مساحيق عطرة")</f>
        <v>&lt;مساحيق عطرة</v>
      </c>
    </row>
    <row r="244" ht="15.75" customHeight="1">
      <c r="A244" s="1" t="s">
        <v>302</v>
      </c>
      <c r="B244" s="2" t="s">
        <v>303</v>
      </c>
      <c r="C244" s="2"/>
    </row>
    <row r="245" ht="15.75" customHeight="1">
      <c r="B245" s="2" t="s">
        <v>304</v>
      </c>
      <c r="C245" s="2" t="s">
        <v>305</v>
      </c>
    </row>
    <row r="246" ht="15.75" customHeight="1">
      <c r="A246" s="2" t="s">
        <v>4</v>
      </c>
      <c r="B246" s="2" t="str">
        <f>IFERROR(__xludf.DUMMYFUNCTION("CONCAT(""&lt;"",GOOGLETRANSLATE(B245,""en"",""ar""))"),"&lt;للطيران")</f>
        <v>&lt;للطيران</v>
      </c>
      <c r="C246" s="2" t="str">
        <f>IFERROR(__xludf.DUMMYFUNCTION("CONCAT(""&lt;"",GOOGLETRANSLATE(C245,""en"",""ar""))"),"&lt;للطيران ، يرتفع ، تركيب لأعلى")</f>
        <v>&lt;للطيران ، يرتفع ، تركيب لأعلى</v>
      </c>
    </row>
    <row r="247" ht="15.75" customHeight="1">
      <c r="A247" s="1" t="s">
        <v>306</v>
      </c>
      <c r="B247" s="2" t="s">
        <v>307</v>
      </c>
      <c r="C247" s="2"/>
    </row>
    <row r="248" ht="15.75" customHeight="1">
      <c r="B248" s="2" t="s">
        <v>308</v>
      </c>
      <c r="C248" s="2" t="s">
        <v>309</v>
      </c>
    </row>
    <row r="249" ht="15.75" customHeight="1">
      <c r="A249" s="2" t="s">
        <v>4</v>
      </c>
      <c r="B249" s="2" t="str">
        <f>IFERROR(__xludf.DUMMYFUNCTION("CONCAT(""&lt;"",GOOGLETRANSLATE(B248,""en"",""ar""))"),"&lt;جناح")</f>
        <v>&lt;جناح</v>
      </c>
      <c r="C249" s="2" t="str">
        <f>IFERROR(__xludf.DUMMYFUNCTION("CONCAT(""&lt;"",GOOGLETRANSLATE(C248,""en"",""ar""))"),"&lt;الجناح ، الريشة")</f>
        <v>&lt;الجناح ، الريشة</v>
      </c>
    </row>
    <row r="250" ht="15.75" customHeight="1">
      <c r="A250" s="1" t="s">
        <v>310</v>
      </c>
      <c r="B250" s="2" t="s">
        <v>311</v>
      </c>
      <c r="C250" s="2"/>
    </row>
    <row r="251" ht="15.75" customHeight="1">
      <c r="B251" s="2" t="s">
        <v>312</v>
      </c>
      <c r="C251" s="2" t="s">
        <v>313</v>
      </c>
    </row>
    <row r="252" ht="15.75" customHeight="1">
      <c r="A252" s="2" t="s">
        <v>4</v>
      </c>
      <c r="B252" s="2" t="str">
        <f>IFERROR(__xludf.DUMMYFUNCTION("CONCAT(""&lt;"",GOOGLETRANSLATE(B251,""en"",""ar""))"),"&lt;ريشة")</f>
        <v>&lt;ريشة</v>
      </c>
      <c r="C252" s="2" t="str">
        <f>IFERROR(__xludf.DUMMYFUNCTION("CONCAT(""&lt;"",GOOGLETRANSLATE(C251,""en"",""ar""))"),"&lt;ريشة الجناح ، جناح")</f>
        <v>&lt;ريشة الجناح ، جناح</v>
      </c>
    </row>
    <row r="253" ht="15.75" customHeight="1">
      <c r="A253" s="1" t="s">
        <v>314</v>
      </c>
      <c r="B253" s="2" t="s">
        <v>315</v>
      </c>
      <c r="C253" s="2"/>
    </row>
    <row r="254" ht="15.75" customHeight="1">
      <c r="B254" s="2" t="s">
        <v>316</v>
      </c>
      <c r="C254" s="2" t="s">
        <v>317</v>
      </c>
    </row>
    <row r="255" ht="15.75" customHeight="1">
      <c r="A255" s="2" t="s">
        <v>4</v>
      </c>
      <c r="B255" s="2" t="str">
        <f>IFERROR(__xludf.DUMMYFUNCTION("CONCAT(""&lt;"",GOOGLETRANSLATE(B254,""en"",""ar""))"),"&lt;إبراهيم")</f>
        <v>&lt;إبراهيم</v>
      </c>
      <c r="C255" s="2" t="str">
        <f>IFERROR(__xludf.DUMMYFUNCTION("CONCAT(""&lt;"",GOOGLETRANSLATE(C254,""en"",""ar""))"),"&lt;إبراهيم ابن تيرا. سلف إسرائيل")</f>
        <v>&lt;إبراهيم ابن تيرا. سلف إسرائيل</v>
      </c>
    </row>
    <row r="256" ht="15.75" customHeight="1">
      <c r="A256" s="1" t="s">
        <v>318</v>
      </c>
      <c r="B256" s="2" t="s">
        <v>319</v>
      </c>
      <c r="C256" s="2"/>
    </row>
    <row r="257" ht="15.75" customHeight="1">
      <c r="B257" s="2" t="s">
        <v>320</v>
      </c>
      <c r="C257" s="2" t="s">
        <v>321</v>
      </c>
    </row>
    <row r="258" ht="15.75" customHeight="1">
      <c r="A258" s="2" t="s">
        <v>4</v>
      </c>
      <c r="B258" s="2" t="str">
        <f>IFERROR(__xludf.DUMMYFUNCTION("CONCAT(""&lt;"",GOOGLETRANSLATE(B257,""en"",""ar""))"),"&lt;لتنحني")</f>
        <v>&lt;لتنحني</v>
      </c>
      <c r="C258" s="2" t="str">
        <f>IFERROR(__xludf.DUMMYFUNCTION("CONCAT(""&lt;"",GOOGLETRANSLATE(C257,""en"",""ar""))"),"&lt;تقوس لأسفل!")</f>
        <v>&lt;تقوس لأسفل!</v>
      </c>
    </row>
    <row r="259" ht="15.75" customHeight="1">
      <c r="A259" s="1" t="s">
        <v>322</v>
      </c>
      <c r="B259" s="2" t="s">
        <v>323</v>
      </c>
      <c r="C259" s="2"/>
    </row>
    <row r="260" ht="15.75" customHeight="1">
      <c r="B260" s="2" t="s">
        <v>324</v>
      </c>
      <c r="C260" s="2" t="s">
        <v>325</v>
      </c>
    </row>
    <row r="261" ht="15.75" customHeight="1">
      <c r="A261" s="2" t="s">
        <v>4</v>
      </c>
      <c r="B261" s="2" t="str">
        <f>IFERROR(__xludf.DUMMYFUNCTION("CONCAT(""&lt;"",GOOGLETRANSLATE(B260,""en"",""ar""))"),"&lt;أبرام")</f>
        <v>&lt;أبرام</v>
      </c>
      <c r="C261" s="2" t="str">
        <f>IFERROR(__xludf.DUMMYFUNCTION("CONCAT(""&lt;"",GOOGLETRANSLATE(C260,""en"",""ar""))"),"&lt;أبرام ابن تيرا. سلف إسرائيل")</f>
        <v>&lt;أبرام ابن تيرا. سلف إسرائيل</v>
      </c>
    </row>
    <row r="262" ht="15.75" customHeight="1">
      <c r="A262" s="1" t="s">
        <v>326</v>
      </c>
      <c r="B262" s="2" t="s">
        <v>327</v>
      </c>
      <c r="C262" s="2"/>
    </row>
    <row r="263" ht="15.75" customHeight="1">
      <c r="B263" s="2" t="s">
        <v>328</v>
      </c>
      <c r="C263" s="2" t="s">
        <v>329</v>
      </c>
    </row>
    <row r="264" ht="15.75" customHeight="1">
      <c r="A264" s="2" t="s">
        <v>4</v>
      </c>
      <c r="B264" s="2" t="str">
        <f>IFERROR(__xludf.DUMMYFUNCTION("CONCAT(""&lt;"",GOOGLETRANSLATE(B263,""en"",""ar""))"),"&lt;أوبث")</f>
        <v>&lt;أوبث</v>
      </c>
      <c r="C264" s="2" t="str">
        <f>IFERROR(__xludf.DUMMYFUNCTION("CONCAT(""&lt;"",GOOGLETRANSLATE(C263,""en"",""ar""))"),"&lt;أوبث الموقع على طول طريق الخروج")</f>
        <v>&lt;أوبث الموقع على طول طريق الخروج</v>
      </c>
    </row>
    <row r="265" ht="15.75" customHeight="1">
      <c r="A265" s="1" t="s">
        <v>330</v>
      </c>
      <c r="B265" s="2" t="s">
        <v>331</v>
      </c>
      <c r="C265" s="2"/>
    </row>
    <row r="266" ht="15.75" customHeight="1">
      <c r="B266" s="2" t="s">
        <v>332</v>
      </c>
      <c r="C266" s="2" t="s">
        <v>333</v>
      </c>
    </row>
    <row r="267" ht="15.75" customHeight="1">
      <c r="A267" s="2" t="s">
        <v>4</v>
      </c>
      <c r="B267" s="2" t="str">
        <f>IFERROR(__xludf.DUMMYFUNCTION("CONCAT(""&lt;"",GOOGLETRANSLATE(B266,""en"",""ar""))"),"&lt;أجي")</f>
        <v>&lt;أجي</v>
      </c>
      <c r="C267" s="2" t="str">
        <f>IFERROR(__xludf.DUMMYFUNCTION("CONCAT(""&lt;"",GOOGLETRANSLATE(C266,""en"",""ar""))"),"&lt;أجي والد شاما ، محارب ، وقت الملك داود")</f>
        <v>&lt;أجي والد شاما ، محارب ، وقت الملك داود</v>
      </c>
    </row>
    <row r="268" ht="15.75" customHeight="1">
      <c r="A268" s="1" t="s">
        <v>334</v>
      </c>
      <c r="B268" s="2" t="s">
        <v>335</v>
      </c>
      <c r="C268" s="2"/>
    </row>
    <row r="269" ht="15.75" customHeight="1">
      <c r="B269" s="2" t="s">
        <v>336</v>
      </c>
      <c r="C269" s="2" t="s">
        <v>337</v>
      </c>
    </row>
    <row r="270" ht="15.75" customHeight="1">
      <c r="A270" s="2" t="s">
        <v>4</v>
      </c>
      <c r="B270" s="2" t="str">
        <f>IFERROR(__xludf.DUMMYFUNCTION("CONCAT(""&lt;"",GOOGLETRANSLATE(B269,""en"",""ar""))"),"&lt;أجاج")</f>
        <v>&lt;أجاج</v>
      </c>
      <c r="C270" s="2" t="str">
        <f>IFERROR(__xludf.DUMMYFUNCTION("CONCAT(""&lt;"",GOOGLETRANSLATE(C269,""en"",""ar""))"),"&lt;(أ) أجاج ؛ رجل؛ (ب) أجاج ؛ ملك عمالي")</f>
        <v>&lt;(أ) أجاج ؛ رجل؛ (ب) أجاج ؛ ملك عمالي</v>
      </c>
    </row>
    <row r="271" ht="15.75" customHeight="1">
      <c r="A271" s="1" t="s">
        <v>338</v>
      </c>
      <c r="B271" s="2" t="s">
        <v>339</v>
      </c>
      <c r="C271" s="2"/>
    </row>
    <row r="272" ht="15.75" customHeight="1">
      <c r="B272" s="2" t="s">
        <v>340</v>
      </c>
      <c r="C272" s="2" t="s">
        <v>341</v>
      </c>
    </row>
    <row r="273" ht="15.75" customHeight="1">
      <c r="A273" s="2" t="s">
        <v>4</v>
      </c>
      <c r="B273" s="2" t="str">
        <f>IFERROR(__xludf.DUMMYFUNCTION("CONCAT(""&lt;"",GOOGLETRANSLATE(B272,""en"",""ar""))"),"&lt;agagite")</f>
        <v>&lt;agagite</v>
      </c>
      <c r="C273" s="2" t="str">
        <f>IFERROR(__xludf.DUMMYFUNCTION("CONCAT(""&lt;"",GOOGLETRANSLATE(C272,""en"",""ar""))"),"&lt;agagite نسل Agag")</f>
        <v>&lt;agagite نسل Agag</v>
      </c>
    </row>
    <row r="274" ht="15.75" customHeight="1">
      <c r="A274" s="1" t="s">
        <v>342</v>
      </c>
      <c r="B274" s="2" t="s">
        <v>343</v>
      </c>
      <c r="C274" s="2"/>
    </row>
    <row r="275" ht="15.75" customHeight="1">
      <c r="B275" s="2" t="s">
        <v>344</v>
      </c>
      <c r="C275" s="2" t="s">
        <v>345</v>
      </c>
    </row>
    <row r="276" ht="15.75" customHeight="1">
      <c r="A276" s="2" t="s">
        <v>4</v>
      </c>
      <c r="B276" s="2" t="str">
        <f>IFERROR(__xludf.DUMMYFUNCTION("CONCAT(""&lt;"",GOOGLETRANSLATE(B275,""en"",""ar""))"),"&lt;شيء مرتبط")</f>
        <v>&lt;شيء مرتبط</v>
      </c>
      <c r="C276" s="2" t="str">
        <f>IFERROR(__xludf.DUMMYFUNCTION("CONCAT(""&lt;"",GOOGLETRANSLATE(C275,""en"",""ar""))"),"&lt;شيء مرتبط ، فرقة ، حزمة ، امتداد السماوات (الشركة مرتبطة بالأرض)")</f>
        <v>&lt;شيء مرتبط ، فرقة ، حزمة ، امتداد السماوات (الشركة مرتبطة بالأرض)</v>
      </c>
    </row>
    <row r="277" ht="15.75" customHeight="1">
      <c r="A277" s="1" t="s">
        <v>346</v>
      </c>
      <c r="B277" s="2" t="s">
        <v>347</v>
      </c>
      <c r="C277" s="2"/>
    </row>
    <row r="278" ht="15.75" customHeight="1">
      <c r="B278" s="2" t="s">
        <v>348</v>
      </c>
      <c r="C278" s="2" t="s">
        <v>349</v>
      </c>
    </row>
    <row r="279" ht="15.75" customHeight="1">
      <c r="A279" s="2" t="s">
        <v>4</v>
      </c>
      <c r="B279" s="2" t="str">
        <f>IFERROR(__xludf.DUMMYFUNCTION("CONCAT(""&lt;"",GOOGLETRANSLATE(B278,""en"",""ar""))"),"&lt;بندق")</f>
        <v>&lt;بندق</v>
      </c>
      <c r="C279" s="2" t="str">
        <f>IFERROR(__xludf.DUMMYFUNCTION("CONCAT(""&lt;"",GOOGLETRANSLATE(C278,""en"",""ar""))"),"&lt;جوز")</f>
        <v>&lt;جوز</v>
      </c>
    </row>
    <row r="280" ht="15.75" customHeight="1">
      <c r="A280" s="1" t="s">
        <v>350</v>
      </c>
      <c r="B280" s="2" t="s">
        <v>351</v>
      </c>
      <c r="C280" s="2"/>
    </row>
    <row r="281" ht="15.75" customHeight="1">
      <c r="B281" s="2" t="s">
        <v>352</v>
      </c>
      <c r="C281" s="2" t="s">
        <v>353</v>
      </c>
    </row>
    <row r="282" ht="15.75" customHeight="1">
      <c r="A282" s="2" t="s">
        <v>4</v>
      </c>
      <c r="B282" s="2" t="str">
        <f>IFERROR(__xludf.DUMMYFUNCTION("CONCAT(""&lt;"",GOOGLETRANSLATE(B281,""en"",""ar""))"),"&lt;أجور")</f>
        <v>&lt;أجور</v>
      </c>
      <c r="C282" s="2" t="str">
        <f>IFERROR(__xludf.DUMMYFUNCTION("CONCAT(""&lt;"",GOOGLETRANSLATE(C281,""en"",""ar""))"),"&lt;agur = ""تجمع ، من يجمع"" ابن جيكه ؛ رجل حكيم")</f>
        <v>&lt;agur = "تجمع ، من يجمع" ابن جيكه ؛ رجل حكيم</v>
      </c>
    </row>
    <row r="283" ht="15.75" customHeight="1">
      <c r="A283" s="1" t="s">
        <v>354</v>
      </c>
      <c r="B283" s="2" t="s">
        <v>355</v>
      </c>
      <c r="C283" s="2"/>
    </row>
    <row r="284" ht="15.75" customHeight="1">
      <c r="B284" s="2" t="s">
        <v>356</v>
      </c>
      <c r="C284" s="2" t="s">
        <v>357</v>
      </c>
    </row>
    <row r="285" ht="15.75" customHeight="1">
      <c r="A285" s="2" t="s">
        <v>4</v>
      </c>
      <c r="B285" s="2" t="str">
        <f>IFERROR(__xludf.DUMMYFUNCTION("CONCAT(""&lt;"",GOOGLETRANSLATE(B284,""en"",""ar""))"),"&lt;قطعة")</f>
        <v>&lt;قطعة</v>
      </c>
      <c r="C285" s="2" t="str">
        <f>IFERROR(__xludf.DUMMYFUNCTION("CONCAT(""&lt;"",GOOGLETRANSLATE(C284,""en"",""ar""))"),"&lt;قطعة (من الفضة)")</f>
        <v>&lt;قطعة (من الفضة)</v>
      </c>
    </row>
    <row r="286" ht="15.75" customHeight="1">
      <c r="A286" s="1" t="s">
        <v>358</v>
      </c>
      <c r="B286" s="2" t="s">
        <v>359</v>
      </c>
      <c r="C286" s="2"/>
    </row>
    <row r="287" ht="15.75" customHeight="1">
      <c r="B287" s="2" t="s">
        <v>360</v>
      </c>
      <c r="C287" s="2" t="s">
        <v>361</v>
      </c>
    </row>
    <row r="288" ht="15.75" customHeight="1">
      <c r="A288" s="2" t="s">
        <v>4</v>
      </c>
      <c r="B288" s="2" t="str">
        <f>IFERROR(__xludf.DUMMYFUNCTION("CONCAT(""&lt;"",GOOGLETRANSLATE(B287,""en"",""ar""))"),"&lt;يسقط")</f>
        <v>&lt;يسقط</v>
      </c>
      <c r="C288" s="2" t="str">
        <f>IFERROR(__xludf.DUMMYFUNCTION("CONCAT(""&lt;"",GOOGLETRANSLATE(C287,""en"",""ar""))"),"&lt;قطرة (S من الندى)")</f>
        <v>&lt;قطرة (S من الندى)</v>
      </c>
    </row>
    <row r="289" ht="15.75" customHeight="1">
      <c r="A289" s="1" t="s">
        <v>362</v>
      </c>
      <c r="B289" s="2" t="s">
        <v>363</v>
      </c>
      <c r="C289" s="2"/>
    </row>
    <row r="290" ht="15.75" customHeight="1">
      <c r="B290" s="2" t="s">
        <v>364</v>
      </c>
      <c r="C290" s="2" t="s">
        <v>365</v>
      </c>
    </row>
    <row r="291" ht="15.75" customHeight="1">
      <c r="A291" s="2" t="s">
        <v>4</v>
      </c>
      <c r="B291" s="2" t="str">
        <f>IFERROR(__xludf.DUMMYFUNCTION("CONCAT(""&lt;"",GOOGLETRANSLATE(B290,""en"",""ar""))"),"&lt;eglad")</f>
        <v>&lt;eglad</v>
      </c>
      <c r="C291" s="2" t="str">
        <f>IFERROR(__xludf.DUMMYFUNCTION("CONCAT(""&lt;"",GOOGLETRANSLATE(C290,""en"",""ar""))"),"&lt;egill بلدة؛ موآب")</f>
        <v>&lt;egill بلدة؛ موآب</v>
      </c>
    </row>
    <row r="292" ht="15.75" customHeight="1">
      <c r="A292" s="1" t="s">
        <v>366</v>
      </c>
      <c r="B292" s="2" t="s">
        <v>367</v>
      </c>
      <c r="C292" s="2"/>
    </row>
    <row r="293" ht="15.75" customHeight="1">
      <c r="B293" s="2" t="s">
        <v>368</v>
      </c>
      <c r="C293" s="2" t="s">
        <v>369</v>
      </c>
    </row>
    <row r="294" ht="15.75" customHeight="1">
      <c r="A294" s="2" t="s">
        <v>4</v>
      </c>
      <c r="B294" s="2" t="str">
        <f>IFERROR(__xludf.DUMMYFUNCTION("CONCAT(""&lt;"",GOOGLETRANSLATE(B293,""en"",""ar""))"),"&lt;حمام سباحة")</f>
        <v>&lt;حمام سباحة</v>
      </c>
      <c r="C294" s="2" t="str">
        <f>IFERROR(__xludf.DUMMYFUNCTION("CONCAT(""&lt;"",GOOGLETRANSLATE(C293,""en"",""ar""))"),"&lt;البركة ، المستنقعات ، مكان القصب ، العصي أو الاندفاع")</f>
        <v>&lt;البركة ، المستنقعات ، مكان القصب ، العصي أو الاندفاع</v>
      </c>
    </row>
    <row r="295" ht="15.75" customHeight="1">
      <c r="A295" s="1" t="s">
        <v>370</v>
      </c>
      <c r="B295" s="2" t="s">
        <v>371</v>
      </c>
      <c r="C295" s="2"/>
    </row>
    <row r="296" ht="15.75" customHeight="1">
      <c r="B296" s="2" t="s">
        <v>372</v>
      </c>
      <c r="C296" s="2" t="s">
        <v>373</v>
      </c>
    </row>
    <row r="297" ht="15.75" customHeight="1">
      <c r="A297" s="2" t="s">
        <v>4</v>
      </c>
      <c r="B297" s="2" t="str">
        <f>IFERROR(__xludf.DUMMYFUNCTION("CONCAT(""&lt;"",GOOGLETRANSLATE(B296,""en"",""ar""))"),"&lt;حزن")</f>
        <v>&lt;حزن</v>
      </c>
      <c r="C297" s="2" t="str">
        <f>IFERROR(__xludf.DUMMYFUNCTION("CONCAT(""&lt;"",GOOGLETRANSLATE(C296,""en"",""ar""))"),"&lt;حزن (بالروح)")</f>
        <v>&lt;حزن (بالروح)</v>
      </c>
    </row>
    <row r="298" ht="15.75" customHeight="1">
      <c r="A298" s="1" t="s">
        <v>374</v>
      </c>
      <c r="B298" s="2" t="s">
        <v>375</v>
      </c>
      <c r="C298" s="2"/>
    </row>
    <row r="299" ht="15.75" customHeight="1">
      <c r="B299" s="2" t="s">
        <v>376</v>
      </c>
      <c r="C299" s="2" t="s">
        <v>377</v>
      </c>
    </row>
    <row r="300" ht="15.75" customHeight="1">
      <c r="A300" s="2" t="s">
        <v>4</v>
      </c>
      <c r="B300" s="2" t="str">
        <f>IFERROR(__xludf.DUMMYFUNCTION("CONCAT(""&lt;"",GOOGLETRANSLATE(B299,""en"",""ar""))"),"&lt;نبات البردي")</f>
        <v>&lt;نبات البردي</v>
      </c>
      <c r="C300" s="2" t="str">
        <f>IFERROR(__xludf.DUMMYFUNCTION("CONCAT(""&lt;"",GOOGLETRANSLATE(C299,""en"",""ar""))"),"&lt;الاندفاع أو القصب ، الحبل المصنوع من القصب ، حار ، بركة مستنقعات حيث تنمو القصب")</f>
        <v>&lt;الاندفاع أو القصب ، الحبل المصنوع من القصب ، حار ، بركة مستنقعات حيث تنمو القصب</v>
      </c>
    </row>
    <row r="301" ht="15.75" customHeight="1">
      <c r="A301" s="1" t="s">
        <v>378</v>
      </c>
      <c r="B301" s="2" t="s">
        <v>379</v>
      </c>
      <c r="C301" s="2"/>
    </row>
    <row r="302" ht="15.75" customHeight="1">
      <c r="B302" s="2" t="s">
        <v>380</v>
      </c>
      <c r="C302" s="2" t="s">
        <v>381</v>
      </c>
    </row>
    <row r="303" ht="15.75" customHeight="1">
      <c r="A303" s="2" t="s">
        <v>4</v>
      </c>
      <c r="B303" s="2" t="str">
        <f>IFERROR(__xludf.DUMMYFUNCTION("CONCAT(""&lt;"",GOOGLETRANSLATE(B302,""en"",""ar""))"),"&lt;إناء")</f>
        <v>&lt;إناء</v>
      </c>
      <c r="C303" s="2" t="str">
        <f>IFERROR(__xludf.DUMMYFUNCTION("CONCAT(""&lt;"",GOOGLETRANSLATE(C302,""en"",""ar""))"),"&lt;الكأس أو الوعاء أو الحوض الذي أثار جوانب لاحتواء شيء ما")</f>
        <v>&lt;الكأس أو الوعاء أو الحوض الذي أثار جوانب لاحتواء شيء ما</v>
      </c>
    </row>
    <row r="304" ht="15.75" customHeight="1">
      <c r="A304" s="1" t="s">
        <v>382</v>
      </c>
      <c r="B304" s="2" t="s">
        <v>383</v>
      </c>
      <c r="C304" s="2"/>
    </row>
    <row r="305" ht="15.75" customHeight="1">
      <c r="B305" s="2" t="s">
        <v>384</v>
      </c>
      <c r="C305" s="2" t="s">
        <v>385</v>
      </c>
    </row>
    <row r="306" ht="15.75" customHeight="1">
      <c r="A306" s="2" t="s">
        <v>4</v>
      </c>
      <c r="B306" s="2" t="str">
        <f>IFERROR(__xludf.DUMMYFUNCTION("CONCAT(""&lt;"",GOOGLETRANSLATE(B305,""en"",""ar""))"),"&lt;فرقة")</f>
        <v>&lt;فرقة</v>
      </c>
      <c r="C306" s="2" t="str">
        <f>IFERROR(__xludf.DUMMYFUNCTION("CONCAT(""&lt;"",GOOGLETRANSLATE(C305,""en"",""ar""))"),"&lt;الفرقة ، شركة ، جناح الجيش")</f>
        <v>&lt;الفرقة ، شركة ، جناح الجيش</v>
      </c>
    </row>
    <row r="307" ht="15.75" customHeight="1">
      <c r="A307" s="1" t="s">
        <v>386</v>
      </c>
      <c r="B307" s="2" t="s">
        <v>387</v>
      </c>
      <c r="C307" s="2"/>
    </row>
    <row r="308" ht="15.75" customHeight="1">
      <c r="B308" s="2" t="s">
        <v>388</v>
      </c>
      <c r="C308" s="2" t="s">
        <v>389</v>
      </c>
    </row>
    <row r="309" ht="15.75" customHeight="1">
      <c r="A309" s="2" t="s">
        <v>4</v>
      </c>
      <c r="B309" s="2" t="str">
        <f>IFERROR(__xludf.DUMMYFUNCTION("CONCAT(""&lt;"",GOOGLETRANSLATE(B308,""en"",""ar""))"),"&lt;مع بعض سويا")</f>
        <v>&lt;مع بعض سويا</v>
      </c>
      <c r="C309" s="2" t="str">
        <f>IFERROR(__xludf.DUMMYFUNCTION("CONCAT(""&lt;"",GOOGLETRANSLATE(C308,""en"",""ar""))"),"&lt;QAL للتجمع")</f>
        <v>&lt;QAL للتجمع</v>
      </c>
    </row>
    <row r="310" ht="15.75" customHeight="1">
      <c r="A310" s="1" t="s">
        <v>390</v>
      </c>
      <c r="B310" s="2" t="s">
        <v>391</v>
      </c>
      <c r="C310" s="2"/>
    </row>
    <row r="311" ht="15.75" customHeight="1">
      <c r="B311" s="2" t="s">
        <v>392</v>
      </c>
      <c r="C311" s="2" t="s">
        <v>392</v>
      </c>
    </row>
    <row r="312" ht="15.75" customHeight="1">
      <c r="A312" s="2" t="s">
        <v>4</v>
      </c>
      <c r="B312" s="2" t="str">
        <f>IFERROR(__xludf.DUMMYFUNCTION("CONCAT(""&lt;"",GOOGLETRANSLATE(B311,""en"",""ar""))"),"&lt;خطاب")</f>
        <v>&lt;خطاب</v>
      </c>
      <c r="C312" s="2" t="str">
        <f>IFERROR(__xludf.DUMMYFUNCTION("CONCAT(""&lt;"",GOOGLETRANSLATE(C311,""en"",""ar""))"),"&lt;خطاب")</f>
        <v>&lt;خطاب</v>
      </c>
    </row>
    <row r="313" ht="15.75" customHeight="1">
      <c r="A313" s="1" t="s">
        <v>393</v>
      </c>
      <c r="B313" s="2" t="s">
        <v>394</v>
      </c>
      <c r="C313" s="2"/>
    </row>
    <row r="314" ht="15.75" customHeight="1">
      <c r="B314" s="2" t="s">
        <v>395</v>
      </c>
      <c r="C314" s="2" t="s">
        <v>396</v>
      </c>
    </row>
    <row r="315" ht="15.75" customHeight="1">
      <c r="A315" s="2" t="s">
        <v>4</v>
      </c>
      <c r="B315" s="2" t="str">
        <f>IFERROR(__xludf.DUMMYFUNCTION("CONCAT(""&lt;"",GOOGLETRANSLATE(B314,""en"",""ar""))"),"&lt;حوض")</f>
        <v>&lt;حوض</v>
      </c>
      <c r="C315" s="2" t="str">
        <f>IFERROR(__xludf.DUMMYFUNCTION("CONCAT(""&lt;"",GOOGLETRANSLATE(C314,""en"",""ar""))"),"&lt;طبق")</f>
        <v>&lt;طبق</v>
      </c>
    </row>
    <row r="316" ht="15.75" customHeight="1">
      <c r="A316" s="1" t="s">
        <v>397</v>
      </c>
      <c r="B316" s="2" t="s">
        <v>398</v>
      </c>
      <c r="C316" s="2"/>
    </row>
    <row r="317" ht="15.75" customHeight="1">
      <c r="B317" s="2" t="s">
        <v>399</v>
      </c>
      <c r="C317" s="2" t="s">
        <v>399</v>
      </c>
    </row>
    <row r="318" ht="15.75" customHeight="1">
      <c r="A318" s="2" t="s">
        <v>4</v>
      </c>
      <c r="B318" s="2" t="str">
        <f>IFERROR(__xludf.DUMMYFUNCTION("CONCAT(""&lt;"",GOOGLETRANSLATE(B317,""en"",""ar""))"),"&lt;قبضة")</f>
        <v>&lt;قبضة</v>
      </c>
      <c r="C318" s="2" t="str">
        <f>IFERROR(__xludf.DUMMYFUNCTION("CONCAT(""&lt;"",GOOGLETRANSLATE(C317,""en"",""ar""))"),"&lt;قبضة")</f>
        <v>&lt;قبضة</v>
      </c>
    </row>
    <row r="319" ht="15.75" customHeight="1">
      <c r="A319" s="1" t="s">
        <v>400</v>
      </c>
      <c r="B319" s="2" t="s">
        <v>401</v>
      </c>
      <c r="C319" s="2"/>
    </row>
    <row r="320" ht="15.75" customHeight="1">
      <c r="B320" s="2" t="s">
        <v>392</v>
      </c>
      <c r="C320" s="2" t="s">
        <v>392</v>
      </c>
    </row>
    <row r="321" ht="15.75" customHeight="1">
      <c r="A321" s="2" t="s">
        <v>4</v>
      </c>
      <c r="B321" s="2" t="str">
        <f>IFERROR(__xludf.DUMMYFUNCTION("CONCAT(""&lt;"",GOOGLETRANSLATE(B320,""en"",""ar""))"),"&lt;خطاب")</f>
        <v>&lt;خطاب</v>
      </c>
      <c r="C321" s="2" t="str">
        <f>IFERROR(__xludf.DUMMYFUNCTION("CONCAT(""&lt;"",GOOGLETRANSLATE(C320,""en"",""ar""))"),"&lt;خطاب")</f>
        <v>&lt;خطاب</v>
      </c>
    </row>
    <row r="322" ht="15.75" customHeight="1">
      <c r="A322" s="1" t="s">
        <v>402</v>
      </c>
      <c r="B322" s="2" t="s">
        <v>403</v>
      </c>
      <c r="C322" s="2"/>
    </row>
    <row r="323" ht="15.75" customHeight="1">
      <c r="B323" s="2" t="s">
        <v>404</v>
      </c>
      <c r="C323" s="2" t="s">
        <v>405</v>
      </c>
    </row>
    <row r="324" ht="15.75" customHeight="1">
      <c r="A324" s="2" t="s">
        <v>4</v>
      </c>
      <c r="B324" s="2" t="str">
        <f>IFERROR(__xludf.DUMMYFUNCTION("CONCAT(""&lt;"",GOOGLETRANSLATE(B323,""en"",""ar""))"),"&lt;شَبُّورَة")</f>
        <v>&lt;شَبُّورَة</v>
      </c>
      <c r="C324" s="2" t="str">
        <f>IFERROR(__xludf.DUMMYFUNCTION("CONCAT(""&lt;"",GOOGLETRANSLATE(C323,""en"",""ar""))"),"&lt;الزفير ، البخار (من الأرض)")</f>
        <v>&lt;الزفير ، البخار (من الأرض)</v>
      </c>
    </row>
    <row r="325" ht="15.75" customHeight="1">
      <c r="A325" s="1" t="s">
        <v>406</v>
      </c>
      <c r="B325" s="2" t="s">
        <v>407</v>
      </c>
      <c r="C325" s="2"/>
    </row>
    <row r="326" ht="15.75" customHeight="1">
      <c r="B326" s="2" t="s">
        <v>408</v>
      </c>
      <c r="C326" s="2" t="s">
        <v>409</v>
      </c>
    </row>
    <row r="327" ht="15.75" customHeight="1">
      <c r="A327" s="2" t="s">
        <v>4</v>
      </c>
      <c r="B327" s="2" t="str">
        <f>IFERROR(__xludf.DUMMYFUNCTION("CONCAT(""&lt;"",GOOGLETRANSLATE(B326,""en"",""ar""))"),"&lt;للحزن")</f>
        <v>&lt;للحزن</v>
      </c>
      <c r="C327" s="2" t="str">
        <f>IFERROR(__xludf.DUMMYFUNCTION("CONCAT(""&lt;"",GOOGLETRANSLATE(C326,""en"",""ar""))"),"&lt;للحزن أو البث أو الإغماء أو الصنوبر")</f>
        <v>&lt;للحزن أو البث أو الإغماء أو الصنوبر</v>
      </c>
    </row>
    <row r="328" ht="15.75" customHeight="1">
      <c r="A328" s="1" t="s">
        <v>410</v>
      </c>
      <c r="B328" s="2" t="s">
        <v>411</v>
      </c>
      <c r="C328" s="2"/>
    </row>
    <row r="329" ht="15.75" customHeight="1">
      <c r="B329" s="2" t="s">
        <v>412</v>
      </c>
      <c r="C329" s="2" t="s">
        <v>413</v>
      </c>
    </row>
    <row r="330" ht="15.75" customHeight="1">
      <c r="A330" s="2" t="s">
        <v>4</v>
      </c>
      <c r="B330" s="2" t="str">
        <f>IFERROR(__xludf.DUMMYFUNCTION("CONCAT(""&lt;"",GOOGLETRANSLATE(B329,""en"",""ar""))"),"&lt;Adbeel")</f>
        <v>&lt;Adbeel</v>
      </c>
      <c r="C330" s="2" t="str">
        <f>IFERROR(__xludf.DUMMYFUNCTION("CONCAT(""&lt;"",GOOGLETRANSLATE(C329,""en"",""ar""))"),"&lt;adbeel = ""معجزة الله"" ، ""معطمة من الله"" أو ""إصبع الله"" ابن إسماعيل")</f>
        <v>&lt;adbeel = "معجزة الله" ، "معطمة من الله" أو "إصبع الله" ابن إسماعيل</v>
      </c>
    </row>
    <row r="331" ht="15.75" customHeight="1">
      <c r="A331" s="1" t="s">
        <v>414</v>
      </c>
      <c r="B331" s="2" t="s">
        <v>415</v>
      </c>
      <c r="C331" s="2"/>
    </row>
    <row r="332" ht="15.75" customHeight="1">
      <c r="B332" s="2" t="s">
        <v>416</v>
      </c>
      <c r="C332" s="2" t="s">
        <v>417</v>
      </c>
    </row>
    <row r="333" ht="15.75" customHeight="1">
      <c r="A333" s="2" t="s">
        <v>4</v>
      </c>
      <c r="B333" s="2" t="str">
        <f>IFERROR(__xludf.DUMMYFUNCTION("CONCAT(""&lt;"",GOOGLETRANSLATE(B332,""en"",""ar""))"),"&lt;حضاد")</f>
        <v>&lt;حضاد</v>
      </c>
      <c r="C333" s="2" t="str">
        <f>IFERROR(__xludf.DUMMYFUNCTION("CONCAT(""&lt;"",GOOGLETRANSLATE(C332,""en"",""ar""))"),"&lt;Hadad = ""قوي ، شرسة؟"" ابن أو سليل ملك أدوم")</f>
        <v>&lt;Hadad = "قوي ، شرسة؟" ابن أو سليل ملك أدوم</v>
      </c>
    </row>
    <row r="334" ht="15.75" customHeight="1">
      <c r="A334" s="1" t="s">
        <v>418</v>
      </c>
      <c r="B334" s="2" t="s">
        <v>419</v>
      </c>
      <c r="C334" s="2"/>
    </row>
    <row r="335" ht="15.75" customHeight="1">
      <c r="B335" s="2" t="s">
        <v>420</v>
      </c>
      <c r="C335" s="2" t="s">
        <v>421</v>
      </c>
    </row>
    <row r="336" ht="15.75" customHeight="1">
      <c r="A336" s="2" t="s">
        <v>4</v>
      </c>
      <c r="B336" s="2" t="str">
        <f>IFERROR(__xludf.DUMMYFUNCTION("CONCAT(""&lt;"",GOOGLETRANSLATE(B335,""en"",""ar""))"),"&lt;كنت سأفعل")</f>
        <v>&lt;كنت سأفعل</v>
      </c>
      <c r="C336" s="2" t="str">
        <f>IFERROR(__xludf.DUMMYFUNCTION("CONCAT(""&lt;"",GOOGLETRANSLATE(C335,""en"",""ar""))"),"&lt;كنت سأفعل؛ رجل؛ قبيلة ليفي وقت عزرا")</f>
        <v>&lt;كنت سأفعل؛ رجل؛ قبيلة ليفي وقت عزرا</v>
      </c>
    </row>
    <row r="337" ht="15.75" customHeight="1">
      <c r="A337" s="1" t="s">
        <v>422</v>
      </c>
      <c r="B337" s="2" t="s">
        <v>423</v>
      </c>
      <c r="C337" s="2"/>
    </row>
    <row r="338" ht="15.75" customHeight="1">
      <c r="B338" s="2" t="s">
        <v>424</v>
      </c>
      <c r="C338" s="2" t="s">
        <v>425</v>
      </c>
    </row>
    <row r="339" ht="15.75" customHeight="1">
      <c r="A339" s="2" t="s">
        <v>4</v>
      </c>
      <c r="B339" s="2" t="str">
        <f>IFERROR(__xludf.DUMMYFUNCTION("CONCAT(""&lt;"",GOOGLETRANSLATE(B338,""en"",""ar""))"),"&lt;رب")</f>
        <v>&lt;رب</v>
      </c>
      <c r="C339" s="2" t="str">
        <f>IFERROR(__xludf.DUMMYFUNCTION("CONCAT(""&lt;"",GOOGLETRANSLATE(C338,""en"",""ar""))"),"&lt;يا رب ، سيد ، مالك")</f>
        <v>&lt;يا رب ، سيد ، مالك</v>
      </c>
    </row>
    <row r="340" ht="15.75" customHeight="1">
      <c r="A340" s="1" t="s">
        <v>426</v>
      </c>
      <c r="B340" s="2" t="s">
        <v>427</v>
      </c>
      <c r="C340" s="2"/>
    </row>
    <row r="341" ht="15.75" customHeight="1">
      <c r="B341" s="2" t="s">
        <v>428</v>
      </c>
      <c r="C341" s="2" t="s">
        <v>429</v>
      </c>
    </row>
    <row r="342" ht="15.75" customHeight="1">
      <c r="A342" s="2" t="s">
        <v>4</v>
      </c>
      <c r="B342" s="2" t="str">
        <f>IFERROR(__xludf.DUMMYFUNCTION("CONCAT(""&lt;"",GOOGLETRANSLATE(B341,""en"",""ar""))"),"&lt;اضافه")</f>
        <v>&lt;اضافه</v>
      </c>
      <c r="C342" s="2" t="str">
        <f>IFERROR(__xludf.DUMMYFUNCTION("CONCAT(""&lt;"",GOOGLETRANSLATE(C341,""en"",""ar""))"),"&lt;addon = ""القوي"" بلدة ؛ الكلبا")</f>
        <v>&lt;addon = "القوي" بلدة ؛ الكلبا</v>
      </c>
    </row>
    <row r="343" ht="15.75" customHeight="1">
      <c r="A343" s="1" t="s">
        <v>430</v>
      </c>
      <c r="B343" s="2" t="s">
        <v>431</v>
      </c>
      <c r="C343" s="2"/>
    </row>
    <row r="344" ht="15.75" customHeight="1">
      <c r="B344" s="2" t="s">
        <v>432</v>
      </c>
      <c r="C344" s="2" t="s">
        <v>433</v>
      </c>
    </row>
    <row r="345" ht="15.75" customHeight="1">
      <c r="A345" s="2" t="s">
        <v>4</v>
      </c>
      <c r="B345" s="2" t="str">
        <f>IFERROR(__xludf.DUMMYFUNCTION("CONCAT(""&lt;"",GOOGLETRANSLATE(B344,""en"",""ar""))"),"&lt;Adoraim")</f>
        <v>&lt;Adoraim</v>
      </c>
      <c r="C345" s="2" t="str">
        <f>IFERROR(__xludf.DUMMYFUNCTION("CONCAT(""&lt;"",GOOGLETRANSLATE(C344,""en"",""ar""))"),"&lt;Adoraim = ""Two Mounds"" ، ""اثنان من الأمراء"" أو ""الشرف المزدوج"" ؛ يهوذا")</f>
        <v>&lt;Adoraim = "Two Mounds" ، "اثنان من الأمراء" أو "الشرف المزدوج" ؛ يهوذا</v>
      </c>
    </row>
    <row r="346" ht="15.75" customHeight="1">
      <c r="A346" s="1" t="s">
        <v>434</v>
      </c>
      <c r="B346" s="2" t="s">
        <v>435</v>
      </c>
      <c r="C346" s="2"/>
    </row>
    <row r="347" ht="15.75" customHeight="1">
      <c r="B347" s="2" t="s">
        <v>436</v>
      </c>
      <c r="C347" s="2" t="s">
        <v>437</v>
      </c>
    </row>
    <row r="348" ht="15.75" customHeight="1">
      <c r="A348" s="2" t="s">
        <v>4</v>
      </c>
      <c r="B348" s="2" t="str">
        <f>IFERROR(__xludf.DUMMYFUNCTION("CONCAT(""&lt;"",GOOGLETRANSLATE(B347,""en"",""ar""))"),"&lt;ثم")</f>
        <v>&lt;ثم</v>
      </c>
      <c r="C348" s="2" t="str">
        <f>IFERROR(__xludf.DUMMYFUNCTION("CONCAT(""&lt;"",GOOGLETRANSLATE(C347,""en"",""ar""))"),"&lt;ثم ، بعد ذلك ، من ذلك الوقت")</f>
        <v>&lt;ثم ، بعد ذلك ، من ذلك الوقت</v>
      </c>
    </row>
    <row r="349" ht="15.75" customHeight="1">
      <c r="A349" s="1" t="s">
        <v>438</v>
      </c>
      <c r="B349" s="2" t="s">
        <v>439</v>
      </c>
      <c r="C349" s="2"/>
    </row>
    <row r="350" ht="15.75" customHeight="1">
      <c r="B350" s="2" t="s">
        <v>440</v>
      </c>
      <c r="C350" s="2" t="s">
        <v>441</v>
      </c>
    </row>
    <row r="351" ht="15.75" customHeight="1">
      <c r="A351" s="2" t="s">
        <v>4</v>
      </c>
      <c r="B351" s="2" t="str">
        <f>IFERROR(__xludf.DUMMYFUNCTION("CONCAT(""&lt;"",GOOGLETRANSLATE(B350,""en"",""ar""))"),"&lt;عظيم")</f>
        <v>&lt;عظيم</v>
      </c>
      <c r="C351" s="2" t="str">
        <f>IFERROR(__xludf.DUMMYFUNCTION("CONCAT(""&lt;"",GOOGLETRANSLATE(C350,""en"",""ar""))"),"&lt;كبيرة ، كبيرة جدا ، قوية (من الأمواج ، السفن ؛ PSA 93: 4) ؛ قوي (من الملوك ، الأمم ، الآلهة ؛ Ezk 32:18) ؛ رائع ، مجيد (psa 8: 2) ؛")</f>
        <v>&lt;كبيرة ، كبيرة جدا ، قوية (من الأمواج ، السفن ؛ PSA 93: 4) ؛ قوي (من الملوك ، الأمم ، الآلهة ؛ Ezk 32:18) ؛ رائع ، مجيد (psa 8: 2) ؛</v>
      </c>
    </row>
    <row r="352" ht="15.75" customHeight="1">
      <c r="A352" s="1" t="s">
        <v>442</v>
      </c>
      <c r="B352" s="2" t="s">
        <v>443</v>
      </c>
      <c r="C352" s="2"/>
    </row>
    <row r="353" ht="15.75" customHeight="1">
      <c r="B353" s="2" t="s">
        <v>444</v>
      </c>
      <c r="C353" s="2" t="s">
        <v>445</v>
      </c>
    </row>
    <row r="354" ht="15.75" customHeight="1">
      <c r="A354" s="2" t="s">
        <v>4</v>
      </c>
      <c r="B354" s="2" t="str">
        <f>IFERROR(__xludf.DUMMYFUNCTION("CONCAT(""&lt;"",GOOGLETRANSLATE(B353,""en"",""ar""))"),"&lt;أدويا")</f>
        <v>&lt;أدويا</v>
      </c>
      <c r="C354" s="2" t="str">
        <f>IFERROR(__xludf.DUMMYFUNCTION("CONCAT(""&lt;"",GOOGLETRANSLATE(C353,""en"",""ar""))"),"&lt;adalia = ""القلب؟"" ، ""النسر؟"" أو ""مستقيم؟"" ابن هامان")</f>
        <v>&lt;adalia = "القلب؟" ، "النسر؟" أو "مستقيم؟" ابن هامان</v>
      </c>
    </row>
    <row r="355" ht="15.75" customHeight="1">
      <c r="A355" s="1" t="s">
        <v>446</v>
      </c>
      <c r="B355" s="2" t="s">
        <v>447</v>
      </c>
      <c r="C355" s="2"/>
    </row>
    <row r="356" ht="15.75" customHeight="1">
      <c r="B356" s="2" t="s">
        <v>448</v>
      </c>
      <c r="C356" s="2" t="s">
        <v>449</v>
      </c>
    </row>
    <row r="357" ht="15.75" customHeight="1">
      <c r="A357" s="2" t="s">
        <v>4</v>
      </c>
      <c r="B357" s="2" t="str">
        <f>IFERROR(__xludf.DUMMYFUNCTION("CONCAT(""&lt;"",GOOGLETRANSLATE(B356,""en"",""ar""))"),"&lt;إلى Redden")</f>
        <v>&lt;إلى Redden</v>
      </c>
      <c r="C357" s="2" t="str">
        <f>IFERROR(__xludf.DUMMYFUNCTION("CONCAT(""&lt;"",GOOGLETRANSLATE(C356,""en"",""ar""))"),"&lt;(أ) QAL لتكون حمراء ، ruddy = جميلة ؛ (ب) بو. ليكون مصبوغ باللون الأحمر. (ج) HITP. أن تكون أحمر ، البريق (من النبيذ في كوب) ؛ (د) HIF. أن تكون أحمر")</f>
        <v>&lt;(أ) QAL لتكون حمراء ، ruddy = جميلة ؛ (ب) بو. ليكون مصبوغ باللون الأحمر. (ج) HITP. أن تكون أحمر ، البريق (من النبيذ في كوب) ؛ (د) HIF. أن تكون أحمر</v>
      </c>
    </row>
    <row r="358" ht="15.75" customHeight="1">
      <c r="A358" s="1" t="s">
        <v>450</v>
      </c>
      <c r="B358" s="2" t="s">
        <v>451</v>
      </c>
      <c r="C358" s="2"/>
    </row>
    <row r="359" ht="15.75" customHeight="1">
      <c r="B359" s="2" t="s">
        <v>452</v>
      </c>
      <c r="C359" s="2" t="s">
        <v>453</v>
      </c>
    </row>
    <row r="360" ht="15.75" customHeight="1">
      <c r="A360" s="2" t="s">
        <v>4</v>
      </c>
      <c r="B360" s="2" t="str">
        <f>IFERROR(__xludf.DUMMYFUNCTION("CONCAT(""&lt;"",GOOGLETRANSLATE(B359,""en"",""ar""))"),"&lt;رجل")</f>
        <v>&lt;رجل</v>
      </c>
      <c r="C360" s="2" t="str">
        <f>IFERROR(__xludf.DUMMYFUNCTION("CONCAT(""&lt;"",GOOGLETRANSLATE(C359,""en"",""ar""))"),"&lt;(1) الرجل ؛ بشرية؛ شخص ، أي شخص (2A) آدم ؛ الرجل الأول؛ (2 ب) آدم ؛ موقع")</f>
        <v>&lt;(1) الرجل ؛ بشرية؛ شخص ، أي شخص (2A) آدم ؛ الرجل الأول؛ (2 ب) آدم ؛ موقع</v>
      </c>
    </row>
    <row r="361" ht="15.75" customHeight="1">
      <c r="A361" s="1" t="s">
        <v>454</v>
      </c>
      <c r="B361" s="2" t="s">
        <v>455</v>
      </c>
      <c r="C361" s="2"/>
    </row>
    <row r="362" ht="15.75" customHeight="1">
      <c r="B362" s="2" t="s">
        <v>456</v>
      </c>
      <c r="C362" s="2" t="s">
        <v>457</v>
      </c>
    </row>
    <row r="363" ht="15.75" customHeight="1">
      <c r="A363" s="2" t="s">
        <v>4</v>
      </c>
      <c r="B363" s="2" t="str">
        <f>IFERROR(__xludf.DUMMYFUNCTION("CONCAT(""&lt;"",GOOGLETRANSLATE(B362,""en"",""ar""))"),"&lt;آدم")</f>
        <v>&lt;آدم</v>
      </c>
      <c r="C363" s="2" t="str">
        <f>IFERROR(__xludf.DUMMYFUNCTION("CONCAT(""&lt;"",GOOGLETRANSLATE(C362,""en"",""ar""))"),"&lt;آدم = ""رجل أو البشرية"" ، ""أحمر أو رودي"" الرجل الأول ، مدينة بالقرب من الأردن")</f>
        <v>&lt;آدم = "رجل أو البشرية" ، "أحمر أو رودي" الرجل الأول ، مدينة بالقرب من الأردن</v>
      </c>
    </row>
    <row r="364" ht="15.75" customHeight="1">
      <c r="A364" s="1" t="s">
        <v>458</v>
      </c>
      <c r="B364" s="2" t="s">
        <v>459</v>
      </c>
      <c r="C364" s="2"/>
    </row>
    <row r="365" ht="15.75" customHeight="1">
      <c r="B365" s="2" t="s">
        <v>460</v>
      </c>
      <c r="C365" s="2" t="s">
        <v>461</v>
      </c>
    </row>
    <row r="366" ht="15.75" customHeight="1">
      <c r="A366" s="2" t="s">
        <v>4</v>
      </c>
      <c r="B366" s="2" t="str">
        <f>IFERROR(__xludf.DUMMYFUNCTION("CONCAT(""&lt;"",GOOGLETRANSLATE(B365,""en"",""ar""))"),"&lt;أحمر")</f>
        <v>&lt;أحمر</v>
      </c>
      <c r="C366" s="2" t="str">
        <f>IFERROR(__xludf.DUMMYFUNCTION("CONCAT(""&lt;"",GOOGLETRANSLATE(C365,""en"",""ar""))"),"&lt;(شيء ما) أشياء حمراء أو رودي أو حمراء")</f>
        <v>&lt;(شيء ما) أشياء حمراء أو رودي أو حمراء</v>
      </c>
    </row>
    <row r="367" ht="15.75" customHeight="1">
      <c r="A367" s="1" t="s">
        <v>462</v>
      </c>
      <c r="B367" s="2" t="s">
        <v>463</v>
      </c>
      <c r="C367" s="2"/>
    </row>
    <row r="368" ht="15.75" customHeight="1">
      <c r="B368" s="2" t="s">
        <v>464</v>
      </c>
      <c r="C368" s="2" t="s">
        <v>465</v>
      </c>
    </row>
    <row r="369" ht="15.75" customHeight="1">
      <c r="A369" s="2" t="s">
        <v>4</v>
      </c>
      <c r="B369" s="2" t="str">
        <f>IFERROR(__xludf.DUMMYFUNCTION("CONCAT(""&lt;"",GOOGLETRANSLATE(B368,""en"",""ar""))"),"&lt;الاشياء الحمراء")</f>
        <v>&lt;الاشياء الحمراء</v>
      </c>
      <c r="C369" s="2" t="str">
        <f>IFERROR(__xludf.DUMMYFUNCTION("CONCAT(""&lt;"",GOOGLETRANSLATE(C368,""en"",""ar""))"),"&lt;(شيء ما) أحمر ، رودي")</f>
        <v>&lt;(شيء ما) أحمر ، رودي</v>
      </c>
    </row>
    <row r="370" ht="15.75" customHeight="1">
      <c r="A370" s="1" t="s">
        <v>466</v>
      </c>
      <c r="B370" s="2" t="s">
        <v>467</v>
      </c>
      <c r="C370" s="2"/>
    </row>
    <row r="371" ht="15.75" customHeight="1">
      <c r="B371" s="2" t="s">
        <v>468</v>
      </c>
      <c r="C371" s="2" t="s">
        <v>469</v>
      </c>
    </row>
    <row r="372" ht="15.75" customHeight="1">
      <c r="A372" s="2" t="s">
        <v>4</v>
      </c>
      <c r="B372" s="2" t="str">
        <f>IFERROR(__xludf.DUMMYFUNCTION("CONCAT(""&lt;"",GOOGLETRANSLATE(B371,""en"",""ar""))"),"&lt;أدوم")</f>
        <v>&lt;أدوم</v>
      </c>
      <c r="C372" s="2" t="str">
        <f>IFERROR(__xludf.DUMMYFUNCTION("CONCAT(""&lt;"",GOOGLETRANSLATE(C371,""en"",""ar""))"),"&lt;Edom = ""Red"" Edom ، شقيق يعقوب ، الناس ، الأرض ؛ أحفاد عيسو")</f>
        <v>&lt;Edom = "Red" Edom ، شقيق يعقوب ، الناس ، الأرض ؛ أحفاد عيسو</v>
      </c>
    </row>
    <row r="373" ht="15.75" customHeight="1">
      <c r="A373" s="1" t="s">
        <v>470</v>
      </c>
      <c r="B373" s="2" t="s">
        <v>471</v>
      </c>
      <c r="C373" s="2"/>
    </row>
    <row r="374" ht="15.75" customHeight="1">
      <c r="B374" s="2" t="s">
        <v>472</v>
      </c>
      <c r="C374" s="2" t="s">
        <v>473</v>
      </c>
    </row>
    <row r="375" ht="15.75" customHeight="1">
      <c r="A375" s="2" t="s">
        <v>4</v>
      </c>
      <c r="B375" s="2" t="str">
        <f>IFERROR(__xludf.DUMMYFUNCTION("CONCAT(""&lt;"",GOOGLETRANSLATE(B374,""en"",""ar""))"),"&lt;سرديوس")</f>
        <v>&lt;سرديوس</v>
      </c>
      <c r="C375" s="2" t="str">
        <f>IFERROR(__xludf.DUMMYFUNCTION("CONCAT(""&lt;"",GOOGLETRANSLATE(C374,""en"",""ar""))"),"&lt;الحجر الثمين الأحمر KB Tev NIV Ruby ؛ LXX Sardion. RSV Sardius ؛ نيب سردين")</f>
        <v>&lt;الحجر الثمين الأحمر KB Tev NIV Ruby ؛ LXX Sardion. RSV Sardius ؛ نيب سردين</v>
      </c>
    </row>
    <row r="376" ht="15.75" customHeight="1">
      <c r="A376" s="1" t="s">
        <v>474</v>
      </c>
      <c r="B376" s="2" t="s">
        <v>475</v>
      </c>
      <c r="C376" s="2"/>
    </row>
    <row r="377" ht="15.75" customHeight="1">
      <c r="B377" s="2" t="s">
        <v>476</v>
      </c>
      <c r="C377" s="2" t="s">
        <v>476</v>
      </c>
    </row>
    <row r="378" ht="15.75" customHeight="1">
      <c r="A378" s="2" t="s">
        <v>4</v>
      </c>
      <c r="B378" s="2" t="str">
        <f>IFERROR(__xludf.DUMMYFUNCTION("CONCAT(""&lt;"",GOOGLETRANSLATE(B377,""en"",""ar""))"),"&lt;المحمر")</f>
        <v>&lt;المحمر</v>
      </c>
      <c r="C378" s="2" t="str">
        <f>IFERROR(__xludf.DUMMYFUNCTION("CONCAT(""&lt;"",GOOGLETRANSLATE(C377,""en"",""ar""))"),"&lt;المحمر")</f>
        <v>&lt;المحمر</v>
      </c>
    </row>
    <row r="379" ht="15.75" customHeight="1">
      <c r="A379" s="1" t="s">
        <v>477</v>
      </c>
      <c r="B379" s="2" t="s">
        <v>478</v>
      </c>
      <c r="C379" s="2"/>
    </row>
    <row r="380" ht="15.75" customHeight="1">
      <c r="B380" s="2" t="s">
        <v>479</v>
      </c>
      <c r="C380" s="2" t="s">
        <v>480</v>
      </c>
    </row>
    <row r="381" ht="15.75" customHeight="1">
      <c r="A381" s="2" t="s">
        <v>4</v>
      </c>
      <c r="B381" s="2" t="str">
        <f>IFERROR(__xludf.DUMMYFUNCTION("CONCAT(""&lt;"",GOOGLETRANSLATE(B380,""en"",""ar""))"),"&lt;أعشه")</f>
        <v>&lt;أعشه</v>
      </c>
      <c r="C381" s="2" t="str">
        <f>IFERROR(__xludf.DUMMYFUNCTION("CONCAT(""&lt;"",GOOGLETRANSLATE(C380,""en"",""ar""))"),"&lt;AMMAH = ""Red Earth"" مدينة في وادي البحر الميت دمرت مع Sodom و Gomorrah")</f>
        <v>&lt;AMMAH = "Red Earth" مدينة في وادي البحر الميت دمرت مع Sodom و Gomorrah</v>
      </c>
    </row>
    <row r="382" ht="15.75" customHeight="1">
      <c r="A382" s="1" t="s">
        <v>481</v>
      </c>
      <c r="B382" s="2" t="s">
        <v>482</v>
      </c>
      <c r="C382" s="2"/>
    </row>
    <row r="383" ht="15.75" customHeight="1">
      <c r="B383" s="2" t="s">
        <v>483</v>
      </c>
      <c r="C383" s="2" t="s">
        <v>484</v>
      </c>
    </row>
    <row r="384" ht="15.75" customHeight="1">
      <c r="A384" s="2" t="s">
        <v>4</v>
      </c>
      <c r="B384" s="2" t="str">
        <f>IFERROR(__xludf.DUMMYFUNCTION("CONCAT(""&lt;"",GOOGLETRANSLATE(B383,""en"",""ar""))"),"&lt;أرض")</f>
        <v>&lt;أرض</v>
      </c>
      <c r="C384" s="2" t="str">
        <f>IFERROR(__xludf.DUMMYFUNCTION("CONCAT(""&lt;"",GOOGLETRANSLATE(C383,""en"",""ar""))"),"&lt;(1) الأرض ؛ تراب؛ الأرض والمنطقة والبلد ؛ الأرض ، الأرض ، الحقل")</f>
        <v>&lt;(1) الأرض ؛ تراب؛ الأرض والمنطقة والبلد ؛ الأرض ، الأرض ، الحقل</v>
      </c>
    </row>
    <row r="385" ht="15.75" customHeight="1">
      <c r="A385" s="1" t="s">
        <v>485</v>
      </c>
      <c r="B385" s="2" t="s">
        <v>486</v>
      </c>
      <c r="C385" s="2"/>
    </row>
    <row r="386" ht="15.75" customHeight="1">
      <c r="B386" s="2" t="s">
        <v>487</v>
      </c>
      <c r="C386" s="2" t="s">
        <v>488</v>
      </c>
    </row>
    <row r="387" ht="15.75" customHeight="1">
      <c r="A387" s="2" t="s">
        <v>4</v>
      </c>
      <c r="B387" s="2" t="str">
        <f>IFERROR(__xludf.DUMMYFUNCTION("CONCAT(""&lt;"",GOOGLETRANSLATE(B386,""en"",""ar""))"),"&lt;آدمه")</f>
        <v>&lt;آدمه</v>
      </c>
      <c r="C387" s="2" t="str">
        <f>IFERROR(__xludf.DUMMYFUNCTION("CONCAT(""&lt;"",GOOGLETRANSLATE(C386,""en"",""ar""))"),"&lt;(2) أدامة. بلدة محصنة أراضي النفتالي")</f>
        <v>&lt;(2) أدامة. بلدة محصنة أراضي النفتالي</v>
      </c>
    </row>
    <row r="388" ht="15.75" customHeight="1">
      <c r="A388" s="1" t="s">
        <v>489</v>
      </c>
      <c r="B388" s="2" t="s">
        <v>490</v>
      </c>
      <c r="C388" s="2"/>
    </row>
    <row r="389" ht="15.75" customHeight="1">
      <c r="B389" s="2" t="s">
        <v>491</v>
      </c>
      <c r="C389" s="2" t="s">
        <v>492</v>
      </c>
    </row>
    <row r="390" ht="15.75" customHeight="1">
      <c r="A390" s="2" t="s">
        <v>4</v>
      </c>
      <c r="B390" s="2" t="str">
        <f>IFERROR(__xludf.DUMMYFUNCTION("CONCAT(""&lt;"",GOOGLETRANSLATE(B389,""en"",""ar""))"),"&lt;أدامي نيكب")</f>
        <v>&lt;أدامي نيكب</v>
      </c>
      <c r="C390" s="2" t="str">
        <f>IFERROR(__xludf.DUMMYFUNCTION("CONCAT(""&lt;"",GOOGLETRANSLATE(C389,""en"",""ar""))"),"&lt;أدامي نيكب بلدة؛ النفتالي")</f>
        <v>&lt;أدامي نيكب بلدة؛ النفتالي</v>
      </c>
    </row>
    <row r="391" ht="15.75" customHeight="1">
      <c r="A391" s="1" t="s">
        <v>493</v>
      </c>
      <c r="B391" s="2" t="s">
        <v>494</v>
      </c>
      <c r="C391" s="2"/>
    </row>
    <row r="392" ht="15.75" customHeight="1">
      <c r="B392" s="2" t="s">
        <v>495</v>
      </c>
      <c r="C392" s="2" t="s">
        <v>496</v>
      </c>
    </row>
    <row r="393" ht="15.75" customHeight="1">
      <c r="A393" s="2" t="s">
        <v>4</v>
      </c>
      <c r="B393" s="2" t="str">
        <f>IFERROR(__xludf.DUMMYFUNCTION("CONCAT(""&lt;"",GOOGLETRANSLATE(B392,""en"",""ar""))"),"&lt;الأدوميت")</f>
        <v>&lt;الأدوميت</v>
      </c>
      <c r="C393" s="2" t="str">
        <f>IFERROR(__xludf.DUMMYFUNCTION("CONCAT(""&lt;"",GOOGLETRANSLATE(C392,""en"",""ar""))"),"&lt;الأدوميت نسل أو ساكن من أدوم")</f>
        <v>&lt;الأدوميت نسل أو ساكن من أدوم</v>
      </c>
    </row>
    <row r="394" ht="15.75" customHeight="1">
      <c r="A394" s="1" t="s">
        <v>497</v>
      </c>
      <c r="B394" s="2" t="s">
        <v>498</v>
      </c>
      <c r="C394" s="2"/>
    </row>
    <row r="395" ht="15.75" customHeight="1">
      <c r="B395" s="2" t="s">
        <v>499</v>
      </c>
      <c r="C395" s="2" t="s">
        <v>500</v>
      </c>
    </row>
    <row r="396" ht="15.75" customHeight="1">
      <c r="A396" s="2" t="s">
        <v>4</v>
      </c>
      <c r="B396" s="2" t="str">
        <f>IFERROR(__xludf.DUMMYFUNCTION("CONCAT(""&lt;"",GOOGLETRANSLATE(B395,""en"",""ar""))"),"&lt;Adummim")</f>
        <v>&lt;Adummim</v>
      </c>
      <c r="C396" s="2" t="str">
        <f>IFERROR(__xludf.DUMMYFUNCTION("CONCAT(""&lt;"",GOOGLETRANSLATE(C395,""en"",""ar""))"),"&lt;Adummim الصعود ، تمر. بين القدس والأريحا")</f>
        <v>&lt;Adummim الصعود ، تمر. بين القدس والأريحا</v>
      </c>
    </row>
    <row r="397" ht="15.75" customHeight="1">
      <c r="A397" s="1" t="s">
        <v>501</v>
      </c>
      <c r="B397" s="2" t="s">
        <v>502</v>
      </c>
      <c r="C397" s="2"/>
    </row>
    <row r="398" ht="15.75" customHeight="1">
      <c r="B398" s="2" t="s">
        <v>460</v>
      </c>
      <c r="C398" s="2" t="s">
        <v>460</v>
      </c>
    </row>
    <row r="399" ht="15.75" customHeight="1">
      <c r="A399" s="2" t="s">
        <v>4</v>
      </c>
      <c r="B399" s="2" t="str">
        <f>IFERROR(__xludf.DUMMYFUNCTION("CONCAT(""&lt;"",GOOGLETRANSLATE(B398,""en"",""ar""))"),"&lt;أحمر")</f>
        <v>&lt;أحمر</v>
      </c>
      <c r="C399" s="2" t="str">
        <f>IFERROR(__xludf.DUMMYFUNCTION("CONCAT(""&lt;"",GOOGLETRANSLATE(C398,""en"",""ar""))"),"&lt;أحمر")</f>
        <v>&lt;أحمر</v>
      </c>
    </row>
    <row r="400" ht="15.75" customHeight="1">
      <c r="A400" s="1" t="s">
        <v>503</v>
      </c>
      <c r="B400" s="2" t="s">
        <v>504</v>
      </c>
      <c r="C400" s="2"/>
    </row>
    <row r="401" ht="15.75" customHeight="1">
      <c r="B401" s="2" t="s">
        <v>505</v>
      </c>
      <c r="C401" s="2" t="s">
        <v>506</v>
      </c>
    </row>
    <row r="402" ht="15.75" customHeight="1">
      <c r="A402" s="2" t="s">
        <v>4</v>
      </c>
      <c r="B402" s="2" t="str">
        <f>IFERROR(__xludf.DUMMYFUNCTION("CONCAT(""&lt;"",GOOGLETRANSLATE(B401,""en"",""ar""))"),"&lt;Admatha")</f>
        <v>&lt;Admatha</v>
      </c>
      <c r="C402" s="2" t="str">
        <f>IFERROR(__xludf.DUMMYFUNCTION("CONCAT(""&lt;"",GOOGLETRANSLATE(C401,""en"",""ar""))"),"&lt;admatha مستشار Ahasuerus")</f>
        <v>&lt;admatha مستشار Ahasuerus</v>
      </c>
    </row>
    <row r="403" ht="15.75" customHeight="1">
      <c r="A403" s="1" t="s">
        <v>507</v>
      </c>
      <c r="B403" s="2" t="s">
        <v>508</v>
      </c>
      <c r="C403" s="2"/>
    </row>
    <row r="404" ht="15.75" customHeight="1">
      <c r="B404" s="2" t="s">
        <v>509</v>
      </c>
      <c r="C404" s="2" t="s">
        <v>510</v>
      </c>
    </row>
    <row r="405" ht="15.75" customHeight="1">
      <c r="A405" s="2" t="s">
        <v>4</v>
      </c>
      <c r="B405" s="2" t="str">
        <f>IFERROR(__xludf.DUMMYFUNCTION("CONCAT(""&lt;"",GOOGLETRANSLATE(B404,""en"",""ar""))"),"&lt;قابس كهرباء")</f>
        <v>&lt;قابس كهرباء</v>
      </c>
      <c r="C405" s="2" t="str">
        <f>IFERROR(__xludf.DUMMYFUNCTION("CONCAT(""&lt;"",GOOGLETRANSLATE(C404,""en"",""ar""))"),"&lt;قاعدة التمثال ، جورب")</f>
        <v>&lt;قاعدة التمثال ، جورب</v>
      </c>
    </row>
    <row r="406" ht="15.75" customHeight="1">
      <c r="A406" s="1" t="s">
        <v>511</v>
      </c>
      <c r="B406" s="2" t="s">
        <v>512</v>
      </c>
      <c r="C406" s="2"/>
    </row>
    <row r="407" ht="15.75" customHeight="1">
      <c r="B407" s="2" t="s">
        <v>513</v>
      </c>
      <c r="C407" s="2" t="s">
        <v>514</v>
      </c>
    </row>
    <row r="408" ht="15.75" customHeight="1">
      <c r="A408" s="2" t="s">
        <v>4</v>
      </c>
      <c r="B408" s="2" t="str">
        <f>IFERROR(__xludf.DUMMYFUNCTION("CONCAT(""&lt;"",GOOGLETRANSLATE(B407,""en"",""ar""))"),"&lt;إضافة")</f>
        <v>&lt;إضافة</v>
      </c>
      <c r="C408" s="2" t="str">
        <f>IFERROR(__xludf.DUMMYFUNCTION("CONCAT(""&lt;"",GOOGLETRANSLATE(C407,""en"",""ar""))"),"&lt;إضافة؛ بلدة؛ الكلبا")</f>
        <v>&lt;إضافة؛ بلدة؛ الكلبا</v>
      </c>
    </row>
    <row r="409" ht="15.75" customHeight="1">
      <c r="A409" s="1" t="s">
        <v>515</v>
      </c>
      <c r="B409" s="2" t="s">
        <v>516</v>
      </c>
      <c r="C409" s="2"/>
    </row>
    <row r="410" ht="15.75" customHeight="1">
      <c r="B410" s="2" t="s">
        <v>517</v>
      </c>
      <c r="C410" s="2" t="s">
        <v>518</v>
      </c>
    </row>
    <row r="411" ht="15.75" customHeight="1">
      <c r="A411" s="2" t="s">
        <v>4</v>
      </c>
      <c r="B411" s="2" t="str">
        <f>IFERROR(__xludf.DUMMYFUNCTION("CONCAT(""&lt;"",GOOGLETRANSLATE(B410,""en"",""ar""))"),"&lt;رب")</f>
        <v>&lt;رب</v>
      </c>
      <c r="C411" s="2" t="str">
        <f>IFERROR(__xludf.DUMMYFUNCTION("CONCAT(""&lt;"",GOOGLETRANSLATE(C410,""en"",""ar""))"),"&lt;يا رب = الله")</f>
        <v>&lt;يا رب = الله</v>
      </c>
    </row>
    <row r="412" ht="15.75" customHeight="1">
      <c r="A412" s="1" t="s">
        <v>519</v>
      </c>
      <c r="B412" s="2" t="s">
        <v>520</v>
      </c>
      <c r="C412" s="2"/>
    </row>
    <row r="413" ht="15.75" customHeight="1">
      <c r="B413" s="2" t="s">
        <v>521</v>
      </c>
      <c r="C413" s="2" t="s">
        <v>522</v>
      </c>
    </row>
    <row r="414" ht="15.75" customHeight="1">
      <c r="A414" s="2" t="s">
        <v>4</v>
      </c>
      <c r="B414" s="2" t="str">
        <f>IFERROR(__xludf.DUMMYFUNCTION("CONCAT(""&lt;"",GOOGLETRANSLATE(B413,""en"",""ar""))"),"&lt;Adoni-Bezek")</f>
        <v>&lt;Adoni-Bezek</v>
      </c>
      <c r="C414" s="2" t="str">
        <f>IFERROR(__xludf.DUMMYFUNCTION("CONCAT(""&lt;"",GOOGLETRANSLATE(C413,""en"",""ar""))"),"&lt;Adoni-Bezek ؛ ملك بزك. وقت القضاة")</f>
        <v>&lt;Adoni-Bezek ؛ ملك بزك. وقت القضاة</v>
      </c>
    </row>
    <row r="415" ht="15.75" customHeight="1">
      <c r="A415" s="1" t="s">
        <v>523</v>
      </c>
      <c r="B415" s="2" t="s">
        <v>524</v>
      </c>
      <c r="C415" s="2"/>
    </row>
    <row r="416" ht="15.75" customHeight="1">
      <c r="B416" s="2" t="s">
        <v>525</v>
      </c>
      <c r="C416" s="2" t="s">
        <v>526</v>
      </c>
    </row>
    <row r="417" ht="15.75" customHeight="1">
      <c r="A417" s="2" t="s">
        <v>4</v>
      </c>
      <c r="B417" s="2" t="str">
        <f>IFERROR(__xludf.DUMMYFUNCTION("CONCAT(""&lt;"",GOOGLETRANSLATE(B416,""en"",""ar""))"),"&lt;Adonijah")</f>
        <v>&lt;Adonijah</v>
      </c>
      <c r="C417" s="2" t="str">
        <f>IFERROR(__xludf.DUMMYFUNCTION("CONCAT(""&lt;"",GOOGLETRANSLATE(C416,""en"",""ar""))"),"&lt;(a) אֲדֹנִיָּהוּ   Adonijah; ابن ديفيد (ب) أدونيخا ؛ رجل؛ وقت نحميا \ adonijah ؛ ليفيت وقت الملك يهوشافات")</f>
        <v>&lt;(a) אֲדֹנִיָּהוּ   Adonijah; ابن ديفيد (ب) أدونيخا ؛ رجل؛ وقت نحميا \ adonijah ؛ ليفيت وقت الملك يهوشافات</v>
      </c>
    </row>
    <row r="418" ht="15.75" customHeight="1">
      <c r="A418" s="1" t="s">
        <v>527</v>
      </c>
      <c r="B418" s="2" t="s">
        <v>528</v>
      </c>
      <c r="C418" s="2"/>
    </row>
    <row r="419" ht="15.75" customHeight="1">
      <c r="B419" s="2" t="s">
        <v>529</v>
      </c>
      <c r="C419" s="2" t="s">
        <v>530</v>
      </c>
    </row>
    <row r="420" ht="15.75" customHeight="1">
      <c r="A420" s="2" t="s">
        <v>4</v>
      </c>
      <c r="B420" s="2" t="str">
        <f>IFERROR(__xludf.DUMMYFUNCTION("CONCAT(""&lt;"",GOOGLETRANSLATE(B419,""en"",""ar""))"),"&lt;Adoni-zedek")</f>
        <v>&lt;Adoni-zedek</v>
      </c>
      <c r="C420" s="2" t="str">
        <f>IFERROR(__xludf.DUMMYFUNCTION("CONCAT(""&lt;"",GOOGLETRANSLATE(C419,""en"",""ar""))"),"&lt;Adoni-zedek ؛ ملك القدس وقت جوشوا")</f>
        <v>&lt;Adoni-zedek ؛ ملك القدس وقت جوشوا</v>
      </c>
    </row>
    <row r="421" ht="15.75" customHeight="1">
      <c r="A421" s="1" t="s">
        <v>531</v>
      </c>
      <c r="B421" s="2" t="s">
        <v>532</v>
      </c>
      <c r="C421" s="2"/>
    </row>
    <row r="422" ht="15.75" customHeight="1">
      <c r="B422" s="2" t="s">
        <v>533</v>
      </c>
      <c r="C422" s="2" t="s">
        <v>534</v>
      </c>
    </row>
    <row r="423" ht="15.75" customHeight="1">
      <c r="A423" s="2" t="s">
        <v>4</v>
      </c>
      <c r="B423" s="2" t="str">
        <f>IFERROR(__xludf.DUMMYFUNCTION("CONCAT(""&lt;"",GOOGLETRANSLATE(B422,""en"",""ar""))"),"&lt;أدونيكام")</f>
        <v>&lt;أدونيكام</v>
      </c>
      <c r="C423" s="2" t="str">
        <f>IFERROR(__xludf.DUMMYFUNCTION("CONCAT(""&lt;"",GOOGLETRANSLATE(C422,""en"",""ar""))"),"&lt;أدونيكام رأس الأسرة بعد المنفى")</f>
        <v>&lt;أدونيكام رأس الأسرة بعد المنفى</v>
      </c>
    </row>
    <row r="424" ht="15.75" customHeight="1">
      <c r="A424" s="1" t="s">
        <v>535</v>
      </c>
      <c r="B424" s="2" t="s">
        <v>536</v>
      </c>
      <c r="C424" s="2"/>
    </row>
    <row r="425" ht="15.75" customHeight="1">
      <c r="B425" s="2" t="s">
        <v>537</v>
      </c>
      <c r="C425" s="2" t="s">
        <v>538</v>
      </c>
    </row>
    <row r="426" ht="15.75" customHeight="1">
      <c r="A426" s="2" t="s">
        <v>4</v>
      </c>
      <c r="B426" s="2" t="str">
        <f>IFERROR(__xludf.DUMMYFUNCTION("CONCAT(""&lt;"",GOOGLETRANSLATE(B425,""en"",""ar""))"),"&lt;أدونيرام")</f>
        <v>&lt;أدونيرام</v>
      </c>
      <c r="C426" s="2" t="str">
        <f>IFERROR(__xludf.DUMMYFUNCTION("CONCAT(""&lt;"",GOOGLETRANSLATE(C425,""en"",""ar""))"),"&lt;أدونيرام ابن عبد. رسمي؛ وقت الملوك ديفيد وسليمان")</f>
        <v>&lt;أدونيرام ابن عبد. رسمي؛ وقت الملوك ديفيد وسليمان</v>
      </c>
    </row>
    <row r="427" ht="15.75" customHeight="1">
      <c r="A427" s="1" t="s">
        <v>539</v>
      </c>
      <c r="B427" s="2" t="s">
        <v>540</v>
      </c>
      <c r="C427" s="2"/>
    </row>
    <row r="428" ht="15.75" customHeight="1">
      <c r="B428" s="2" t="s">
        <v>541</v>
      </c>
      <c r="C428" s="2" t="s">
        <v>542</v>
      </c>
    </row>
    <row r="429" ht="15.75" customHeight="1">
      <c r="A429" s="2" t="s">
        <v>4</v>
      </c>
      <c r="B429" s="2" t="str">
        <f>IFERROR(__xludf.DUMMYFUNCTION("CONCAT(""&lt;"",GOOGLETRANSLATE(B428,""en"",""ar""))"),"&lt;كن مجيدًا")</f>
        <v>&lt;كن مجيدًا</v>
      </c>
      <c r="C429" s="2" t="str">
        <f>IFERROR(__xludf.DUMMYFUNCTION("CONCAT(""&lt;"",GOOGLETRANSLATE(C428,""en"",""ar""))"),"&lt;(أ) نيف. النعت: مجيد. (ب) HIF. لجعل قوي ومجد")</f>
        <v>&lt;(أ) نيف. النعت: مجيد. (ب) HIF. لجعل قوي ومجد</v>
      </c>
    </row>
    <row r="430" ht="15.75" customHeight="1">
      <c r="A430" s="1" t="s">
        <v>543</v>
      </c>
      <c r="B430" s="2" t="s">
        <v>544</v>
      </c>
      <c r="C430" s="2"/>
    </row>
    <row r="431" ht="15.75" customHeight="1">
      <c r="B431" s="2" t="s">
        <v>545</v>
      </c>
      <c r="C431" s="2" t="s">
        <v>546</v>
      </c>
    </row>
    <row r="432" ht="15.75" customHeight="1">
      <c r="A432" s="2" t="s">
        <v>4</v>
      </c>
      <c r="B432" s="2" t="str">
        <f>IFERROR(__xludf.DUMMYFUNCTION("CONCAT(""&lt;"",GOOGLETRANSLATE(B431,""en"",""ar""))"),"&lt;أدار")</f>
        <v>&lt;أدار</v>
      </c>
      <c r="C432" s="2" t="str">
        <f>IFERROR(__xludf.DUMMYFUNCTION("CONCAT(""&lt;"",GOOGLETRANSLATE(C431,""en"",""ar""))"),"&lt;اسم الشهر ؛ ما بعد الانفصال فبراير/مارس")</f>
        <v>&lt;اسم الشهر ؛ ما بعد الانفصال فبراير/مارس</v>
      </c>
    </row>
    <row r="433" ht="15.75" customHeight="1">
      <c r="A433" s="1" t="s">
        <v>547</v>
      </c>
      <c r="B433" s="2" t="s">
        <v>548</v>
      </c>
      <c r="C433" s="2"/>
    </row>
    <row r="434" ht="15.75" customHeight="1">
      <c r="B434" s="2" t="s">
        <v>545</v>
      </c>
      <c r="C434" s="2" t="s">
        <v>546</v>
      </c>
    </row>
    <row r="435" ht="15.75" customHeight="1">
      <c r="A435" s="2" t="s">
        <v>4</v>
      </c>
      <c r="B435" s="2" t="str">
        <f>IFERROR(__xludf.DUMMYFUNCTION("CONCAT(""&lt;"",GOOGLETRANSLATE(B434,""en"",""ar""))"),"&lt;أدار")</f>
        <v>&lt;أدار</v>
      </c>
      <c r="C435" s="2" t="str">
        <f>IFERROR(__xludf.DUMMYFUNCTION("CONCAT(""&lt;"",GOOGLETRANSLATE(C434,""en"",""ar""))"),"&lt;اسم الشهر ؛ ما بعد الانفصال فبراير/مارس")</f>
        <v>&lt;اسم الشهر ؛ ما بعد الانفصال فبراير/مارس</v>
      </c>
    </row>
    <row r="436" ht="15.75" customHeight="1">
      <c r="A436" s="1" t="s">
        <v>549</v>
      </c>
      <c r="B436" s="2" t="s">
        <v>550</v>
      </c>
      <c r="C436" s="2"/>
    </row>
    <row r="437" ht="15.75" customHeight="1">
      <c r="B437" s="2" t="s">
        <v>551</v>
      </c>
      <c r="C437" s="2" t="s">
        <v>552</v>
      </c>
    </row>
    <row r="438" ht="15.75" customHeight="1">
      <c r="A438" s="2" t="s">
        <v>4</v>
      </c>
      <c r="B438" s="2" t="str">
        <f>IFERROR(__xludf.DUMMYFUNCTION("CONCAT(""&lt;"",GOOGLETRANSLATE(B437,""en"",""ar""))"),"&lt;رداء - روب")</f>
        <v>&lt;رداء - روب</v>
      </c>
      <c r="C438" s="2" t="str">
        <f>IFERROR(__xludf.DUMMYFUNCTION("CONCAT(""&lt;"",GOOGLETRANSLATE(C437,""en"",""ar""))"),"&lt;(1) قد ، روعة ؛ (2) تعزيز الدولة")</f>
        <v>&lt;(1) قد ، روعة ؛ (2) تعزيز الدولة</v>
      </c>
    </row>
    <row r="439" ht="15.75" customHeight="1">
      <c r="A439" s="1" t="s">
        <v>553</v>
      </c>
      <c r="B439" s="2" t="s">
        <v>554</v>
      </c>
      <c r="C439" s="2"/>
    </row>
    <row r="440" ht="15.75" customHeight="1">
      <c r="B440" s="2" t="s">
        <v>555</v>
      </c>
      <c r="C440" s="2" t="s">
        <v>556</v>
      </c>
    </row>
    <row r="441" ht="15.75" customHeight="1">
      <c r="A441" s="2" t="s">
        <v>4</v>
      </c>
      <c r="B441" s="2" t="str">
        <f>IFERROR(__xludf.DUMMYFUNCTION("CONCAT(""&lt;"",GOOGLETRANSLATE(B440,""en"",""ar""))"),"&lt;Addar")</f>
        <v>&lt;Addar</v>
      </c>
      <c r="C441" s="2" t="str">
        <f>IFERROR(__xludf.DUMMYFUNCTION("CONCAT(""&lt;"",GOOGLETRANSLATE(C440,""en"",""ar""))"),"&lt;(a) חֲצַר־אַדָּר   Adar; بلدة؛ يهوذا؛ (b) אַרָדָּ   Adar; ابن بيلا قبيلة بنيامين")</f>
        <v>&lt;(a) חֲצַר־אַדָּר   Adar; بلدة؛ يهوذا؛ (b) אַרָדָּ   Adar; ابن بيلا قبيلة بنيامين</v>
      </c>
    </row>
    <row r="442" ht="15.75" customHeight="1">
      <c r="A442" s="1" t="s">
        <v>557</v>
      </c>
      <c r="B442" s="2" t="s">
        <v>558</v>
      </c>
      <c r="C442" s="2"/>
    </row>
    <row r="443" ht="15.75" customHeight="1">
      <c r="B443" s="2" t="s">
        <v>559</v>
      </c>
    </row>
    <row r="444" ht="15.75" customHeight="1">
      <c r="A444" s="2" t="s">
        <v>4</v>
      </c>
      <c r="B444" s="2" t="str">
        <f>IFERROR(__xludf.DUMMYFUNCTION("CONCAT(""&lt;"",GOOGLETRANSLATE(B443,""en"",""ar""))"),"&lt;الطبق")</f>
        <v>&lt;الطبق</v>
      </c>
      <c r="C444" s="2"/>
    </row>
    <row r="445" ht="15.75" customHeight="1">
      <c r="A445" s="1" t="s">
        <v>560</v>
      </c>
      <c r="B445" s="2" t="s">
        <v>561</v>
      </c>
      <c r="C445" s="2"/>
    </row>
    <row r="446" ht="15.75" customHeight="1">
      <c r="B446" s="2" t="s">
        <v>562</v>
      </c>
    </row>
    <row r="447" ht="15.75" customHeight="1">
      <c r="A447" s="2" t="s">
        <v>4</v>
      </c>
      <c r="B447" s="2" t="str">
        <f>IFERROR(__xludf.DUMMYFUNCTION("CONCAT(""&lt;"",GOOGLETRANSLATE(B446,""en"",""ar""))"),"&lt;يحكم على")</f>
        <v>&lt;يحكم على</v>
      </c>
      <c r="C447" s="2"/>
    </row>
    <row r="448" ht="15.75" customHeight="1">
      <c r="A448" s="1" t="s">
        <v>563</v>
      </c>
      <c r="B448" s="2" t="s">
        <v>564</v>
      </c>
      <c r="C448" s="2"/>
    </row>
    <row r="449" ht="15.75" customHeight="1">
      <c r="B449" s="2" t="s">
        <v>565</v>
      </c>
    </row>
    <row r="450" ht="15.75" customHeight="1">
      <c r="A450" s="2" t="s">
        <v>4</v>
      </c>
      <c r="B450" s="2" t="str">
        <f>IFERROR(__xludf.DUMMYFUNCTION("CONCAT(""&lt;"",GOOGLETRANSLATE(B449,""en"",""ar""))"),"&lt;بجد")</f>
        <v>&lt;بجد</v>
      </c>
      <c r="C450" s="2"/>
    </row>
    <row r="451" ht="15.75" customHeight="1">
      <c r="A451" s="1" t="s">
        <v>566</v>
      </c>
      <c r="B451" s="2" t="s">
        <v>567</v>
      </c>
      <c r="C451" s="2"/>
    </row>
    <row r="452" ht="15.75" customHeight="1">
      <c r="B452" s="2" t="s">
        <v>568</v>
      </c>
      <c r="C452" s="2" t="s">
        <v>569</v>
      </c>
    </row>
    <row r="453" ht="15.75" customHeight="1">
      <c r="A453" s="2" t="s">
        <v>4</v>
      </c>
      <c r="B453" s="2" t="str">
        <f>IFERROR(__xludf.DUMMYFUNCTION("CONCAT(""&lt;"",GOOGLETRANSLATE(B452,""en"",""ar""))"),"&lt;درهم")</f>
        <v>&lt;درهم</v>
      </c>
      <c r="C453" s="2" t="str">
        <f>IFERROR(__xludf.DUMMYFUNCTION("CONCAT(""&lt;"",GOOGLETRANSLATE(C452,""en"",""ar""))"),"&lt;داري")</f>
        <v>&lt;داري</v>
      </c>
    </row>
    <row r="454" ht="15.75" customHeight="1">
      <c r="A454" s="1" t="s">
        <v>570</v>
      </c>
      <c r="B454" s="2" t="s">
        <v>571</v>
      </c>
      <c r="C454" s="2"/>
    </row>
    <row r="455" ht="15.75" customHeight="1">
      <c r="B455" s="2" t="s">
        <v>572</v>
      </c>
      <c r="C455" s="2" t="s">
        <v>573</v>
      </c>
    </row>
    <row r="456" ht="15.75" customHeight="1">
      <c r="A456" s="2" t="s">
        <v>4</v>
      </c>
      <c r="B456" s="2" t="str">
        <f>IFERROR(__xludf.DUMMYFUNCTION("CONCAT(""&lt;"",GOOGLETRANSLATE(B455,""en"",""ar""))"),"&lt;أدورام")</f>
        <v>&lt;أدورام</v>
      </c>
      <c r="C456" s="2" t="str">
        <f>IFERROR(__xludf.DUMMYFUNCTION("CONCAT(""&lt;"",GOOGLETRANSLATE(C455,""en"",""ar""))"),"&lt;أدورام ابن عبد. رسمي؛ وقت الملوك ديفيد وسليمان")</f>
        <v>&lt;أدورام ابن عبد. رسمي؛ وقت الملوك ديفيد وسليمان</v>
      </c>
    </row>
    <row r="457" ht="15.75" customHeight="1">
      <c r="A457" s="1" t="s">
        <v>574</v>
      </c>
      <c r="B457" s="2" t="s">
        <v>575</v>
      </c>
      <c r="C457" s="2"/>
    </row>
    <row r="458" ht="15.75" customHeight="1">
      <c r="B458" s="2" t="s">
        <v>576</v>
      </c>
      <c r="C458" s="2" t="s">
        <v>577</v>
      </c>
    </row>
    <row r="459" ht="15.75" customHeight="1">
      <c r="A459" s="2" t="s">
        <v>4</v>
      </c>
      <c r="B459" s="2" t="str">
        <f>IFERROR(__xludf.DUMMYFUNCTION("CONCAT(""&lt;"",GOOGLETRANSLATE(B458,""en"",""ar""))"),"&lt;Adrammelech")</f>
        <v>&lt;Adrammelech</v>
      </c>
      <c r="C459" s="2" t="str">
        <f>IFERROR(__xludf.DUMMYFUNCTION("CONCAT(""&lt;"",GOOGLETRANSLATE(C458,""en"",""ar""))"),"&lt;(أ) Adrammelech ؛ إله سيفارفيم. (ب) Adrammelech ؛ ابن سنشريب ، ملك آشور")</f>
        <v>&lt;(أ) Adrammelech ؛ إله سيفارفيم. (ب) Adrammelech ؛ ابن سنشريب ، ملك آشور</v>
      </c>
    </row>
    <row r="460" ht="15.75" customHeight="1">
      <c r="A460" s="1" t="s">
        <v>578</v>
      </c>
      <c r="B460" s="2" t="s">
        <v>579</v>
      </c>
      <c r="C460" s="2"/>
    </row>
    <row r="461" ht="15.75" customHeight="1">
      <c r="B461" s="2" t="s">
        <v>580</v>
      </c>
    </row>
    <row r="462" ht="15.75" customHeight="1">
      <c r="A462" s="2" t="s">
        <v>4</v>
      </c>
      <c r="B462" s="2" t="str">
        <f>IFERROR(__xludf.DUMMYFUNCTION("CONCAT(""&lt;"",GOOGLETRANSLATE(B461,""en"",""ar""))"),"&lt;قوة")</f>
        <v>&lt;قوة</v>
      </c>
      <c r="C462" s="2"/>
    </row>
    <row r="463" ht="15.75" customHeight="1">
      <c r="A463" s="1" t="s">
        <v>581</v>
      </c>
      <c r="B463" s="2" t="s">
        <v>582</v>
      </c>
      <c r="C463" s="2"/>
    </row>
    <row r="464" ht="15.75" customHeight="1">
      <c r="B464" s="2" t="s">
        <v>583</v>
      </c>
      <c r="C464" s="2" t="s">
        <v>584</v>
      </c>
    </row>
    <row r="465" ht="15.75" customHeight="1">
      <c r="A465" s="2" t="s">
        <v>4</v>
      </c>
      <c r="B465" s="2" t="str">
        <f>IFERROR(__xludf.DUMMYFUNCTION("CONCAT(""&lt;"",GOOGLETRANSLATE(B464,""en"",""ar""))"),"&lt;إدري")</f>
        <v>&lt;إدري</v>
      </c>
      <c r="C465" s="2" t="str">
        <f>IFERROR(__xludf.DUMMYFUNCTION("CONCAT(""&lt;"",GOOGLETRANSLATE(C464,""en"",""ar""))"),"&lt;(أ) إدري ؛ بلدة؛ باشان ، ماناسه ؛ (ب) إدري ؛ بلدة محصنة أراضي النفتالي")</f>
        <v>&lt;(أ) إدري ؛ بلدة؛ باشان ، ماناسه ؛ (ب) إدري ؛ بلدة محصنة أراضي النفتالي</v>
      </c>
    </row>
    <row r="466" ht="15.75" customHeight="1">
      <c r="A466" s="1" t="s">
        <v>585</v>
      </c>
      <c r="B466" s="2" t="s">
        <v>586</v>
      </c>
      <c r="C466" s="2"/>
    </row>
    <row r="467" ht="15.75" customHeight="1">
      <c r="B467" s="2" t="s">
        <v>587</v>
      </c>
      <c r="C467" s="2" t="s">
        <v>588</v>
      </c>
    </row>
    <row r="468" ht="15.75" customHeight="1">
      <c r="A468" s="2" t="s">
        <v>4</v>
      </c>
      <c r="B468" s="2" t="str">
        <f>IFERROR(__xludf.DUMMYFUNCTION("CONCAT(""&lt;"",GOOGLETRANSLATE(B467,""en"",""ar""))"),"&lt;ملابس")</f>
        <v>&lt;ملابس</v>
      </c>
      <c r="C468" s="2" t="str">
        <f>IFERROR(__xludf.DUMMYFUNCTION("CONCAT(""&lt;"",GOOGLETRANSLATE(C467,""en"",""ar""))"),"&lt;(أ) عباءة ، عباءة ، رداء ؛ (ب) حالة كونها مجيدة")</f>
        <v>&lt;(أ) عباءة ، عباءة ، رداء ؛ (ب) حالة كونها مجيدة</v>
      </c>
    </row>
    <row r="469" ht="15.75" customHeight="1">
      <c r="A469" s="1" t="s">
        <v>589</v>
      </c>
      <c r="B469" s="2" t="s">
        <v>590</v>
      </c>
      <c r="C469" s="2"/>
    </row>
    <row r="470" ht="15.75" customHeight="1">
      <c r="B470" s="2" t="s">
        <v>591</v>
      </c>
      <c r="C470" s="2" t="s">
        <v>592</v>
      </c>
    </row>
    <row r="471" ht="15.75" customHeight="1">
      <c r="A471" s="2" t="s">
        <v>4</v>
      </c>
      <c r="B471" s="2" t="str">
        <f>IFERROR(__xludf.DUMMYFUNCTION("CONCAT(""&lt;"",GOOGLETRANSLATE(B470,""en"",""ar""))"),"&lt;إلى عتبة")</f>
        <v>&lt;إلى عتبة</v>
      </c>
      <c r="C471" s="2" t="str">
        <f>IFERROR(__xludf.DUMMYFUNCTION("CONCAT(""&lt;"",GOOGLETRANSLATE(C470,""en"",""ar""))"),"&lt;QAL إلى عتبة")</f>
        <v>&lt;QAL إلى عتبة</v>
      </c>
    </row>
    <row r="472" ht="15.75" customHeight="1">
      <c r="A472" s="1" t="s">
        <v>593</v>
      </c>
      <c r="B472" s="2" t="s">
        <v>594</v>
      </c>
      <c r="C472" s="2"/>
    </row>
    <row r="473" ht="15.75" customHeight="1">
      <c r="B473" s="2" t="s">
        <v>595</v>
      </c>
      <c r="C473" s="2" t="s">
        <v>596</v>
      </c>
    </row>
    <row r="474" ht="15.75" customHeight="1">
      <c r="A474" s="2" t="s">
        <v>4</v>
      </c>
      <c r="B474" s="2" t="str">
        <f>IFERROR(__xludf.DUMMYFUNCTION("CONCAT(""&lt;"",GOOGLETRANSLATE(B473,""en"",""ar""))"),"&lt;يحب")</f>
        <v>&lt;يحب</v>
      </c>
      <c r="C474" s="2" t="str">
        <f>IFERROR(__xludf.DUMMYFUNCTION("CONCAT(""&lt;"",GOOGLETRANSLATE(C473,""en"",""ar""))"),"&lt;Qal to love \ nif. (السببية)")</f>
        <v>&lt;Qal to love \ nif. (السببية)</v>
      </c>
    </row>
    <row r="475" ht="15.75" customHeight="1">
      <c r="A475" s="1" t="s">
        <v>597</v>
      </c>
      <c r="B475" s="2" t="s">
        <v>598</v>
      </c>
      <c r="C475" s="2"/>
    </row>
    <row r="476" ht="15.75" customHeight="1">
      <c r="B476" s="2" t="s">
        <v>599</v>
      </c>
      <c r="C476" s="2" t="s">
        <v>600</v>
      </c>
    </row>
    <row r="477" ht="15.75" customHeight="1">
      <c r="A477" s="2" t="s">
        <v>4</v>
      </c>
      <c r="B477" s="2" t="str">
        <f>IFERROR(__xludf.DUMMYFUNCTION("CONCAT(""&lt;"",GOOGLETRANSLATE(B476,""en"",""ar""))"),"&lt;عاشق")</f>
        <v>&lt;عاشق</v>
      </c>
      <c r="C477" s="2" t="str">
        <f>IFERROR(__xludf.DUMMYFUNCTION("CONCAT(""&lt;"",GOOGLETRANSLATE(C476,""en"",""ar""))"),"&lt;(أ) الحب الجمع ؛ (ب) كائن الحب")</f>
        <v>&lt;(أ) الحب الجمع ؛ (ب) كائن الحب</v>
      </c>
    </row>
    <row r="478" ht="15.75" customHeight="1">
      <c r="A478" s="1" t="s">
        <v>601</v>
      </c>
      <c r="B478" s="2" t="s">
        <v>602</v>
      </c>
      <c r="C478" s="2"/>
    </row>
    <row r="479" ht="15.75" customHeight="1">
      <c r="B479" s="2" t="s">
        <v>603</v>
      </c>
      <c r="C479" s="2" t="s">
        <v>604</v>
      </c>
    </row>
    <row r="480" ht="15.75" customHeight="1">
      <c r="A480" s="2" t="s">
        <v>4</v>
      </c>
      <c r="B480" s="2" t="str">
        <f>IFERROR(__xludf.DUMMYFUNCTION("CONCAT(""&lt;"",GOOGLETRANSLATE(B479,""en"",""ar""))"),"&lt;محبوب")</f>
        <v>&lt;محبوب</v>
      </c>
      <c r="C480" s="2" t="str">
        <f>IFERROR(__xludf.DUMMYFUNCTION("CONCAT(""&lt;"",GOOGLETRANSLATE(C479,""en"",""ar""))"),"&lt;(عاشق؛ (ب) الحب \ صديق")</f>
        <v>&lt;(عاشق؛ (ب) الحب \ صديق</v>
      </c>
    </row>
    <row r="481" ht="15.75" customHeight="1">
      <c r="A481" s="1" t="s">
        <v>605</v>
      </c>
      <c r="B481" s="2" t="s">
        <v>606</v>
      </c>
      <c r="C481" s="2"/>
    </row>
    <row r="482" ht="15.75" customHeight="1">
      <c r="B482" s="2" t="s">
        <v>607</v>
      </c>
      <c r="C482" s="2" t="s">
        <v>607</v>
      </c>
    </row>
    <row r="483" ht="15.75" customHeight="1">
      <c r="A483" s="2" t="s">
        <v>4</v>
      </c>
      <c r="B483" s="2" t="str">
        <f>IFERROR(__xludf.DUMMYFUNCTION("CONCAT(""&lt;"",GOOGLETRANSLATE(B482,""en"",""ar""))"),"&lt;حب")</f>
        <v>&lt;حب</v>
      </c>
      <c r="C483" s="2" t="str">
        <f>IFERROR(__xludf.DUMMYFUNCTION("CONCAT(""&lt;"",GOOGLETRANSLATE(C482,""en"",""ar""))"),"&lt;حب")</f>
        <v>&lt;حب</v>
      </c>
    </row>
    <row r="484" ht="15.75" customHeight="1">
      <c r="A484" s="1" t="s">
        <v>608</v>
      </c>
      <c r="B484" s="2" t="s">
        <v>609</v>
      </c>
      <c r="C484" s="2"/>
    </row>
    <row r="485" ht="15.75" customHeight="1">
      <c r="B485" s="2" t="s">
        <v>610</v>
      </c>
      <c r="C485" s="2" t="s">
        <v>611</v>
      </c>
    </row>
    <row r="486" ht="15.75" customHeight="1">
      <c r="A486" s="2" t="s">
        <v>4</v>
      </c>
      <c r="B486" s="2" t="str">
        <f>IFERROR(__xludf.DUMMYFUNCTION("CONCAT(""&lt;"",GOOGLETRANSLATE(B485,""en"",""ar""))"),"&lt;أوهاد")</f>
        <v>&lt;أوهاد</v>
      </c>
      <c r="C486" s="2" t="str">
        <f>IFERROR(__xludf.DUMMYFUNCTION("CONCAT(""&lt;"",GOOGLETRANSLATE(C485,""en"",""ar""))"),"&lt;أوهاد ابن سيمون")</f>
        <v>&lt;أوهاد ابن سيمون</v>
      </c>
    </row>
    <row r="487" ht="15.75" customHeight="1">
      <c r="A487" s="1" t="s">
        <v>612</v>
      </c>
      <c r="B487" s="2" t="s">
        <v>613</v>
      </c>
      <c r="C487" s="2"/>
    </row>
    <row r="488" ht="15.75" customHeight="1">
      <c r="B488" s="2" t="s">
        <v>614</v>
      </c>
      <c r="C488" s="2" t="s">
        <v>615</v>
      </c>
    </row>
    <row r="489" ht="15.75" customHeight="1">
      <c r="A489" s="2" t="s">
        <v>4</v>
      </c>
      <c r="B489" s="2" t="str">
        <f>IFERROR(__xludf.DUMMYFUNCTION("CONCAT(""&lt;"",GOOGLETRANSLATE(B488,""en"",""ar""))"),"&lt;واحسرتاه!")</f>
        <v>&lt;واحسرتاه!</v>
      </c>
      <c r="C489" s="2" t="str">
        <f>IFERROR(__xludf.DUMMYFUNCTION("CONCAT(""&lt;"",GOOGLETRANSLATE(C488,""en"",""ar""))"),"&lt;تدخل آه!")</f>
        <v>&lt;تدخل آه!</v>
      </c>
    </row>
    <row r="490" ht="15.75" customHeight="1">
      <c r="A490" s="1" t="s">
        <v>616</v>
      </c>
      <c r="B490" s="2" t="s">
        <v>617</v>
      </c>
      <c r="C490" s="2"/>
    </row>
    <row r="491" ht="15.75" customHeight="1">
      <c r="B491" s="2" t="s">
        <v>618</v>
      </c>
      <c r="C491" s="2" t="s">
        <v>619</v>
      </c>
    </row>
    <row r="492" ht="15.75" customHeight="1">
      <c r="A492" s="2" t="s">
        <v>4</v>
      </c>
      <c r="B492" s="2" t="str">
        <f>IFERROR(__xludf.DUMMYFUNCTION("CONCAT(""&lt;"",GOOGLETRANSLATE(B491,""en"",""ar""))"),"&lt;آهافا")</f>
        <v>&lt;آهافا</v>
      </c>
      <c r="C492" s="2" t="str">
        <f>IFERROR(__xludf.DUMMYFUNCTION("CONCAT(""&lt;"",GOOGLETRANSLATE(C491,""en"",""ar""))"),"&lt;آهافا الموقع والنهر. الكلبا")</f>
        <v>&lt;آهافا الموقع والنهر. الكلبا</v>
      </c>
    </row>
    <row r="493" ht="15.75" customHeight="1">
      <c r="A493" s="1" t="s">
        <v>620</v>
      </c>
      <c r="B493" s="2" t="s">
        <v>621</v>
      </c>
      <c r="C493" s="2"/>
    </row>
    <row r="494" ht="15.75" customHeight="1">
      <c r="B494" s="2" t="s">
        <v>622</v>
      </c>
      <c r="C494" s="2" t="s">
        <v>623</v>
      </c>
    </row>
    <row r="495" ht="15.75" customHeight="1">
      <c r="A495" s="2" t="s">
        <v>4</v>
      </c>
      <c r="B495" s="2" t="str">
        <f>IFERROR(__xludf.DUMMYFUNCTION("CONCAT(""&lt;"",GOOGLETRANSLATE(B494,""en"",""ar""))"),"&lt;ehud")</f>
        <v>&lt;ehud</v>
      </c>
      <c r="C495" s="2" t="str">
        <f>IFERROR(__xludf.DUMMYFUNCTION("CONCAT(""&lt;"",GOOGLETRANSLATE(C494,""en"",""ar""))"),"&lt;(أ) إيهود ؛ قاضي إسرائيل. (ب) إيهود ؛ ابن بيلهان قبيلة بنيامين")</f>
        <v>&lt;(أ) إيهود ؛ قاضي إسرائيل. (ب) إيهود ؛ ابن بيلهان قبيلة بنيامين</v>
      </c>
    </row>
    <row r="496" ht="15.75" customHeight="1">
      <c r="A496" s="1" t="s">
        <v>624</v>
      </c>
      <c r="B496" s="2" t="s">
        <v>625</v>
      </c>
      <c r="C496" s="2"/>
    </row>
    <row r="497" ht="15.75" customHeight="1">
      <c r="B497" s="2" t="s">
        <v>626</v>
      </c>
      <c r="C497" s="2" t="s">
        <v>627</v>
      </c>
    </row>
    <row r="498" ht="15.75" customHeight="1">
      <c r="A498" s="2" t="s">
        <v>4</v>
      </c>
      <c r="B498" s="2" t="str">
        <f>IFERROR(__xludf.DUMMYFUNCTION("CONCAT(""&lt;"",GOOGLETRANSLATE(B497,""en"",""ar""))"),"&lt;أين؟")</f>
        <v>&lt;أين؟</v>
      </c>
      <c r="C498" s="2" t="str">
        <f>IFERROR(__xludf.DUMMYFUNCTION("CONCAT(""&lt;"",GOOGLETRANSLATE(C497,""en"",""ar""))"),"&lt;سؤال أين؟")</f>
        <v>&lt;سؤال أين؟</v>
      </c>
    </row>
    <row r="499" ht="15.75" customHeight="1">
      <c r="A499" s="1" t="s">
        <v>628</v>
      </c>
      <c r="B499" s="2" t="s">
        <v>629</v>
      </c>
      <c r="C499" s="2"/>
    </row>
    <row r="500" ht="15.75" customHeight="1">
      <c r="B500" s="2" t="s">
        <v>630</v>
      </c>
      <c r="C500" s="2" t="s">
        <v>631</v>
      </c>
    </row>
    <row r="501" ht="15.75" customHeight="1">
      <c r="A501" s="2" t="s">
        <v>4</v>
      </c>
      <c r="B501" s="2" t="str">
        <f>IFERROR(__xludf.DUMMYFUNCTION("CONCAT(""&lt;"",GOOGLETRANSLATE(B500,""en"",""ar""))"),"&lt;للتألق")</f>
        <v>&lt;للتألق</v>
      </c>
      <c r="C501" s="2" t="str">
        <f>IFERROR(__xludf.DUMMYFUNCTION("CONCAT(""&lt;"",GOOGLETRANSLATE(C500,""en"",""ar""))"),"&lt;باي. (= QAL) ؛ (ب) HIF. للتألق")</f>
        <v>&lt;باي. (= QAL) ؛ (ب) HIF. للتألق</v>
      </c>
    </row>
    <row r="502" ht="15.75" customHeight="1">
      <c r="A502" s="1" t="s">
        <v>632</v>
      </c>
      <c r="B502" s="2" t="s">
        <v>633</v>
      </c>
      <c r="C502" s="2"/>
    </row>
    <row r="503" ht="15.75" customHeight="1">
      <c r="B503" s="2" t="s">
        <v>634</v>
      </c>
      <c r="C503" s="2" t="s">
        <v>635</v>
      </c>
    </row>
    <row r="504" ht="15.75" customHeight="1">
      <c r="A504" s="2" t="s">
        <v>4</v>
      </c>
      <c r="B504" s="2" t="str">
        <f>IFERROR(__xludf.DUMMYFUNCTION("CONCAT(""&lt;"",GOOGLETRANSLATE(B503,""en"",""ar""))"),"&lt;الى ارض الملعب")</f>
        <v>&lt;الى ارض الملعب</v>
      </c>
      <c r="C504" s="2" t="str">
        <f>IFERROR(__xludf.DUMMYFUNCTION("CONCAT(""&lt;"",GOOGLETRANSLATE(C503,""en"",""ar""))"),"&lt;(أ) QAL لعرض خيمة")</f>
        <v>&lt;(أ) QAL لعرض خيمة</v>
      </c>
    </row>
    <row r="505" ht="15.75" customHeight="1">
      <c r="A505" s="1" t="s">
        <v>636</v>
      </c>
      <c r="B505" s="2" t="s">
        <v>637</v>
      </c>
      <c r="C505" s="2"/>
    </row>
    <row r="506" ht="15.75" customHeight="1">
      <c r="B506" s="2" t="s">
        <v>638</v>
      </c>
      <c r="C506" s="2" t="s">
        <v>639</v>
      </c>
    </row>
    <row r="507" ht="15.75" customHeight="1">
      <c r="A507" s="2" t="s">
        <v>4</v>
      </c>
      <c r="B507" s="2" t="str">
        <f>IFERROR(__xludf.DUMMYFUNCTION("CONCAT(""&lt;"",GOOGLETRANSLATE(B506,""en"",""ar""))"),"&lt;خيمة")</f>
        <v>&lt;خيمة</v>
      </c>
      <c r="C507" s="2" t="str">
        <f>IFERROR(__xludf.DUMMYFUNCTION("CONCAT(""&lt;"",GOOGLETRANSLATE(C506,""en"",""ar""))"),"&lt;(1 أ) خيمة ؛ منزل ، مسكن من أي نوع ؛ المسكن")</f>
        <v>&lt;(1 أ) خيمة ؛ منزل ، مسكن من أي نوع ؛ المسكن</v>
      </c>
    </row>
    <row r="508" ht="15.75" customHeight="1">
      <c r="A508" s="1" t="s">
        <v>640</v>
      </c>
      <c r="B508" s="2" t="s">
        <v>641</v>
      </c>
      <c r="C508" s="2"/>
    </row>
    <row r="509" ht="15.75" customHeight="1">
      <c r="B509" s="2" t="s">
        <v>642</v>
      </c>
      <c r="C509" s="2" t="s">
        <v>643</v>
      </c>
    </row>
    <row r="510" ht="15.75" customHeight="1">
      <c r="A510" s="2" t="s">
        <v>4</v>
      </c>
      <c r="B510" s="2" t="str">
        <f>IFERROR(__xludf.DUMMYFUNCTION("CONCAT(""&lt;"",GOOGLETRANSLATE(B509,""en"",""ar""))"),"&lt;أوهيل")</f>
        <v>&lt;أوهيل</v>
      </c>
      <c r="C510" s="2" t="str">
        <f>IFERROR(__xludf.DUMMYFUNCTION("CONCAT(""&lt;"",GOOGLETRANSLATE(C509,""en"",""ar""))"),"&lt;(1 ب) خيمة الاجتماع ؛ اسم آخر للمعابلين. (2) Ohel ؛ نجل Zerubbabel. قبيلة يهوذا")</f>
        <v>&lt;(1 ب) خيمة الاجتماع ؛ اسم آخر للمعابلين. (2) Ohel ؛ نجل Zerubbabel. قبيلة يهوذا</v>
      </c>
    </row>
    <row r="511" ht="15.75" customHeight="1">
      <c r="A511" s="1" t="s">
        <v>644</v>
      </c>
      <c r="B511" s="2" t="s">
        <v>645</v>
      </c>
      <c r="C511" s="2"/>
    </row>
    <row r="512" ht="15.75" customHeight="1">
      <c r="B512" s="2" t="s">
        <v>646</v>
      </c>
      <c r="C512" s="2" t="s">
        <v>647</v>
      </c>
    </row>
    <row r="513" ht="15.75" customHeight="1">
      <c r="A513" s="2" t="s">
        <v>4</v>
      </c>
      <c r="B513" s="2" t="str">
        <f>IFERROR(__xludf.DUMMYFUNCTION("CONCAT(""&lt;"",GOOGLETRANSLATE(B512,""en"",""ar""))"),"&lt;عه الله")</f>
        <v>&lt;عه الله</v>
      </c>
      <c r="C513" s="2" t="str">
        <f>IFERROR(__xludf.DUMMYFUNCTION("CONCAT(""&lt;"",GOOGLETRANSLATE(C512,""en"",""ar""))"),"&lt;أوهلا امرأة؛ رمز السامرة")</f>
        <v>&lt;أوهلا امرأة؛ رمز السامرة</v>
      </c>
    </row>
    <row r="514" ht="15.75" customHeight="1">
      <c r="A514" s="1" t="s">
        <v>648</v>
      </c>
      <c r="B514" s="2" t="s">
        <v>649</v>
      </c>
      <c r="C514" s="2"/>
    </row>
    <row r="515" ht="15.75" customHeight="1">
      <c r="B515" s="2" t="s">
        <v>650</v>
      </c>
      <c r="C515" s="2" t="s">
        <v>651</v>
      </c>
    </row>
    <row r="516" ht="15.75" customHeight="1">
      <c r="A516" s="2" t="s">
        <v>4</v>
      </c>
      <c r="B516" s="2" t="str">
        <f>IFERROR(__xludf.DUMMYFUNCTION("CONCAT(""&lt;"",GOOGLETRANSLATE(B515,""en"",""ar""))"),"&lt;aholiab")</f>
        <v>&lt;aholiab</v>
      </c>
      <c r="C516" s="2" t="str">
        <f>IFERROR(__xludf.DUMMYFUNCTION("CONCAT(""&lt;"",GOOGLETRANSLATE(C515,""en"",""ar""))"),"&lt;Oholiab ابن Ahisamach ؛ الحرفي يعمل على Tabernacle ؛ قبيلة دان")</f>
        <v>&lt;Oholiab ابن Ahisamach ؛ الحرفي يعمل على Tabernacle ؛ قبيلة دان</v>
      </c>
    </row>
    <row r="517" ht="15.75" customHeight="1">
      <c r="A517" s="1" t="s">
        <v>652</v>
      </c>
      <c r="B517" s="2" t="s">
        <v>653</v>
      </c>
      <c r="C517" s="2"/>
    </row>
    <row r="518" ht="15.75" customHeight="1">
      <c r="B518" s="2" t="s">
        <v>654</v>
      </c>
      <c r="C518" s="2" t="s">
        <v>655</v>
      </c>
    </row>
    <row r="519" ht="15.75" customHeight="1">
      <c r="A519" s="2" t="s">
        <v>4</v>
      </c>
      <c r="B519" s="2" t="str">
        <f>IFERROR(__xludf.DUMMYFUNCTION("CONCAT(""&lt;"",GOOGLETRANSLATE(B518,""en"",""ar""))"),"&lt;عاليبا")</f>
        <v>&lt;عاليبا</v>
      </c>
      <c r="C519" s="2" t="str">
        <f>IFERROR(__xludf.DUMMYFUNCTION("CONCAT(""&lt;"",GOOGLETRANSLATE(C518,""en"",""ar""))"),"&lt;أوليبا امرأة؛ رمز القدس")</f>
        <v>&lt;أوليبا امرأة؛ رمز القدس</v>
      </c>
    </row>
    <row r="520" ht="15.75" customHeight="1">
      <c r="A520" s="1" t="s">
        <v>656</v>
      </c>
      <c r="B520" s="2" t="s">
        <v>657</v>
      </c>
      <c r="C520" s="2"/>
    </row>
    <row r="521" ht="15.75" customHeight="1">
      <c r="B521" s="2" t="s">
        <v>658</v>
      </c>
      <c r="C521" s="2" t="s">
        <v>659</v>
      </c>
    </row>
    <row r="522" ht="15.75" customHeight="1">
      <c r="A522" s="2" t="s">
        <v>4</v>
      </c>
      <c r="B522" s="2" t="str">
        <f>IFERROR(__xludf.DUMMYFUNCTION("CONCAT(""&lt;"",GOOGLETRANSLATE(B521,""en"",""ar""))"),"&lt;aholibamah")</f>
        <v>&lt;aholibamah</v>
      </c>
      <c r="C522" s="2" t="str">
        <f>IFERROR(__xludf.DUMMYFUNCTION("CONCAT(""&lt;"",GOOGLETRANSLATE(C521,""en"",""ar""))"),"&lt;(أ) أوليباما ؛ ابنة آنا زوجة عيسو (ب) أوليباما ؛ رئيس أدوم")</f>
        <v>&lt;(أ) أوليباما ؛ ابنة آنا زوجة عيسو (ب) أوليباما ؛ رئيس أدوم</v>
      </c>
    </row>
    <row r="523" ht="15.75" customHeight="1">
      <c r="A523" s="1" t="s">
        <v>660</v>
      </c>
      <c r="B523" s="2" t="s">
        <v>661</v>
      </c>
      <c r="C523" s="2"/>
    </row>
    <row r="524" ht="15.75" customHeight="1">
      <c r="B524" s="2" t="s">
        <v>662</v>
      </c>
      <c r="C524" s="2" t="s">
        <v>663</v>
      </c>
    </row>
    <row r="525" ht="15.75" customHeight="1">
      <c r="A525" s="2" t="s">
        <v>4</v>
      </c>
      <c r="B525" s="2" t="str">
        <f>IFERROR(__xludf.DUMMYFUNCTION("CONCAT(""&lt;"",GOOGLETRANSLATE(B524,""en"",""ar""))"),"&lt;نبات الصبار")</f>
        <v>&lt;نبات الصبار</v>
      </c>
      <c r="C525" s="2" t="str">
        <f>IFERROR(__xludf.DUMMYFUNCTION("CONCAT(""&lt;"",GOOGLETRANSLATE(C524,""en"",""ar""))"),"&lt;aloes راتنج عطري ، من Aquilaria Ahallocha (Eaglewood) ، وهي شجرة كبيرة قد تصل إلى ارتفاع 36 مترًا ؛ إنها موطنها جنوب شرق آسيا وشمال الهند")</f>
        <v>&lt;aloes راتنج عطري ، من Aquilaria Ahallocha (Eaglewood) ، وهي شجرة كبيرة قد تصل إلى ارتفاع 36 مترًا ؛ إنها موطنها جنوب شرق آسيا وشمال الهند</v>
      </c>
    </row>
    <row r="526" ht="15.75" customHeight="1">
      <c r="A526" s="1" t="s">
        <v>664</v>
      </c>
      <c r="B526" s="2" t="s">
        <v>665</v>
      </c>
      <c r="C526" s="2"/>
    </row>
    <row r="527" ht="15.75" customHeight="1">
      <c r="B527" s="2" t="s">
        <v>666</v>
      </c>
      <c r="C527" s="2" t="s">
        <v>667</v>
      </c>
    </row>
    <row r="528" ht="15.75" customHeight="1">
      <c r="A528" s="2" t="s">
        <v>4</v>
      </c>
      <c r="B528" s="2" t="str">
        <f>IFERROR(__xludf.DUMMYFUNCTION("CONCAT(""&lt;"",GOOGLETRANSLATE(B527,""en"",""ar""))"),"&lt;هارون")</f>
        <v>&lt;هارون</v>
      </c>
      <c r="C528" s="2" t="str">
        <f>IFERROR(__xludf.DUMMYFUNCTION("CONCAT(""&lt;"",GOOGLETRANSLATE(C527,""en"",""ar""))"),"&lt;هارون شقيق موسى أول كهنة. قبيلة ليفي")</f>
        <v>&lt;هارون شقيق موسى أول كهنة. قبيلة ليفي</v>
      </c>
    </row>
    <row r="529" ht="15.75" customHeight="1">
      <c r="A529" s="1" t="s">
        <v>668</v>
      </c>
      <c r="B529" s="2" t="s">
        <v>669</v>
      </c>
      <c r="C529" s="2"/>
    </row>
    <row r="530" ht="15.75" customHeight="1">
      <c r="B530" s="2" t="s">
        <v>670</v>
      </c>
      <c r="C530" s="2" t="s">
        <v>671</v>
      </c>
    </row>
    <row r="531" ht="15.75" customHeight="1">
      <c r="A531" s="2" t="s">
        <v>4</v>
      </c>
      <c r="B531" s="2" t="str">
        <f>IFERROR(__xludf.DUMMYFUNCTION("CONCAT(""&lt;"",GOOGLETRANSLATE(B530,""en"",""ar""))"),"&lt;أو")</f>
        <v>&lt;أو</v>
      </c>
      <c r="C531" s="2" t="str">
        <f>IFERROR(__xludf.DUMMYFUNCTION("CONCAT(""&lt;"",GOOGLETRANSLATE(C530,""en"",""ar""))"),"&lt;الاقتران: أو")</f>
        <v>&lt;الاقتران: أو</v>
      </c>
    </row>
    <row r="532" ht="15.75" customHeight="1">
      <c r="A532" s="1" t="s">
        <v>672</v>
      </c>
      <c r="B532" s="2" t="s">
        <v>673</v>
      </c>
      <c r="C532" s="2"/>
    </row>
    <row r="533" ht="15.75" customHeight="1">
      <c r="B533" s="2" t="s">
        <v>48</v>
      </c>
      <c r="C533" s="2" t="s">
        <v>48</v>
      </c>
    </row>
    <row r="534" ht="15.75" customHeight="1">
      <c r="A534" s="2" t="s">
        <v>4</v>
      </c>
      <c r="B534" s="2" t="str">
        <f>IFERROR(__xludf.DUMMYFUNCTION("CONCAT(""&lt;"",GOOGLETRANSLATE(B533,""en"",""ar""))"),"&lt;يرغب")</f>
        <v>&lt;يرغب</v>
      </c>
      <c r="C534" s="2" t="str">
        <f>IFERROR(__xludf.DUMMYFUNCTION("CONCAT(""&lt;"",GOOGLETRANSLATE(C533,""en"",""ar""))"),"&lt;يرغب")</f>
        <v>&lt;يرغب</v>
      </c>
    </row>
    <row r="535" ht="15.75" customHeight="1">
      <c r="A535" s="1" t="s">
        <v>674</v>
      </c>
      <c r="B535" s="2" t="s">
        <v>675</v>
      </c>
      <c r="C535" s="2"/>
    </row>
    <row r="536" ht="15.75" customHeight="1">
      <c r="B536" s="2" t="s">
        <v>676</v>
      </c>
      <c r="C536" s="2" t="s">
        <v>677</v>
      </c>
    </row>
    <row r="537" ht="15.75" customHeight="1">
      <c r="A537" s="2" t="s">
        <v>4</v>
      </c>
      <c r="B537" s="2" t="str">
        <f>IFERROR(__xludf.DUMMYFUNCTION("CONCAT(""&lt;"",GOOGLETRANSLATE(B536,""en"",""ar""))"),"&lt;uel")</f>
        <v>&lt;uel</v>
      </c>
      <c r="C537" s="2" t="str">
        <f>IFERROR(__xludf.DUMMYFUNCTION("CONCAT(""&lt;"",GOOGLETRANSLATE(C536,""en"",""ar""))"),"&lt;UEL سليل باني ؛ وقت عزرا")</f>
        <v>&lt;UEL سليل باني ؛ وقت عزرا</v>
      </c>
    </row>
    <row r="538" ht="15.75" customHeight="1">
      <c r="A538" s="1" t="s">
        <v>678</v>
      </c>
      <c r="B538" s="2" t="s">
        <v>679</v>
      </c>
      <c r="C538" s="2"/>
    </row>
    <row r="539" ht="15.75" customHeight="1">
      <c r="B539" s="2" t="s">
        <v>680</v>
      </c>
      <c r="C539" s="2" t="s">
        <v>681</v>
      </c>
    </row>
    <row r="540" ht="15.75" customHeight="1">
      <c r="A540" s="2" t="s">
        <v>4</v>
      </c>
      <c r="B540" s="2" t="str">
        <f>IFERROR(__xludf.DUMMYFUNCTION("CONCAT(""&lt;"",GOOGLETRANSLATE(B539,""en"",""ar""))"),"&lt;واسطة")</f>
        <v>&lt;واسطة</v>
      </c>
      <c r="C540" s="2" t="str">
        <f>IFERROR(__xludf.DUMMYFUNCTION("CONCAT(""&lt;"",GOOGLETRANSLATE(C539,""en"",""ar""))"),"&lt;(أ) حقيبة (للنبيذ ؛ مصنوع من الماعز ، تم قلب الجانب الخارجي إلى الداخل) ؛ (ب) الروح ؛ مستحضر ، مستحضر الأرواح")</f>
        <v>&lt;(أ) حقيبة (للنبيذ ؛ مصنوع من الماعز ، تم قلب الجانب الخارجي إلى الداخل) ؛ (ب) الروح ؛ مستحضر ، مستحضر الأرواح</v>
      </c>
    </row>
    <row r="541" ht="15.75" customHeight="1">
      <c r="A541" s="1" t="s">
        <v>682</v>
      </c>
      <c r="B541" s="2" t="s">
        <v>683</v>
      </c>
      <c r="C541" s="2"/>
    </row>
    <row r="542" ht="15.75" customHeight="1">
      <c r="B542" s="2" t="s">
        <v>684</v>
      </c>
      <c r="C542" s="2" t="s">
        <v>685</v>
      </c>
    </row>
    <row r="543" ht="15.75" customHeight="1">
      <c r="A543" s="2" t="s">
        <v>4</v>
      </c>
      <c r="B543" s="2" t="str">
        <f>IFERROR(__xludf.DUMMYFUNCTION("CONCAT(""&lt;"",GOOGLETRANSLATE(B542,""en"",""ar""))"),"&lt;أوبل")</f>
        <v>&lt;أوبل</v>
      </c>
      <c r="C543" s="2" t="str">
        <f>IFERROR(__xludf.DUMMYFUNCTION("CONCAT(""&lt;"",GOOGLETRANSLATE(C542,""en"",""ar""))"),"&lt;أوبل رسمي؛ وقت داود")</f>
        <v>&lt;أوبل رسمي؛ وقت داود</v>
      </c>
    </row>
    <row r="544" ht="15.75" customHeight="1">
      <c r="A544" s="1" t="s">
        <v>686</v>
      </c>
      <c r="B544" s="2" t="s">
        <v>687</v>
      </c>
      <c r="C544" s="2"/>
    </row>
    <row r="545" ht="15.75" customHeight="1">
      <c r="B545" s="2" t="s">
        <v>688</v>
      </c>
      <c r="C545" s="2" t="s">
        <v>689</v>
      </c>
    </row>
    <row r="546" ht="15.75" customHeight="1">
      <c r="A546" s="2" t="s">
        <v>4</v>
      </c>
      <c r="B546" s="2" t="str">
        <f>IFERROR(__xludf.DUMMYFUNCTION("CONCAT(""&lt;"",GOOGLETRANSLATE(B545,""en"",""ar""))"),"&lt;نهر")</f>
        <v>&lt;نهر</v>
      </c>
      <c r="C546" s="2" t="str">
        <f>IFERROR(__xludf.DUMMYFUNCTION("CONCAT(""&lt;"",GOOGLETRANSLATE(C545,""en"",""ar""))"),"&lt;مسار الماء ، القناة")</f>
        <v>&lt;مسار الماء ، القناة</v>
      </c>
    </row>
    <row r="547" ht="15.75" customHeight="1">
      <c r="A547" s="1" t="s">
        <v>690</v>
      </c>
      <c r="B547" s="2" t="s">
        <v>691</v>
      </c>
      <c r="C547" s="2"/>
    </row>
    <row r="548" ht="15.75" customHeight="1">
      <c r="B548" s="2" t="s">
        <v>692</v>
      </c>
      <c r="C548" s="2" t="s">
        <v>693</v>
      </c>
    </row>
    <row r="549" ht="15.75" customHeight="1">
      <c r="A549" s="2" t="s">
        <v>4</v>
      </c>
      <c r="B549" s="2" t="str">
        <f>IFERROR(__xludf.DUMMYFUNCTION("CONCAT(""&lt;"",GOOGLETRANSLATE(B548,""en"",""ar""))"),"&lt;Firebrand")</f>
        <v>&lt;Firebrand</v>
      </c>
      <c r="C549" s="2" t="str">
        <f>IFERROR(__xludf.DUMMYFUNCTION("CONCAT(""&lt;"",GOOGLETRANSLATE(C548,""en"",""ar""))"),"&lt;قطعة من الحطب")</f>
        <v>&lt;قطعة من الحطب</v>
      </c>
    </row>
    <row r="550" ht="15.75" customHeight="1">
      <c r="A550" s="1" t="s">
        <v>694</v>
      </c>
      <c r="B550" s="2" t="s">
        <v>695</v>
      </c>
      <c r="C550" s="2"/>
    </row>
    <row r="551" ht="15.75" customHeight="1">
      <c r="B551" s="2" t="s">
        <v>696</v>
      </c>
      <c r="C551" s="2" t="s">
        <v>697</v>
      </c>
    </row>
    <row r="552" ht="15.75" customHeight="1">
      <c r="A552" s="2" t="s">
        <v>4</v>
      </c>
      <c r="B552" s="2" t="str">
        <f>IFERROR(__xludf.DUMMYFUNCTION("CONCAT(""&lt;"",GOOGLETRANSLATE(B551,""en"",""ar""))"),"&lt;لأن")</f>
        <v>&lt;لأن</v>
      </c>
      <c r="C552" s="2" t="str">
        <f>IFERROR(__xludf.DUMMYFUNCTION("CONCAT(""&lt;"",GOOGLETRANSLATE(C551,""en"",""ar""))"),"&lt;(أ) بسبب ؛ (ب) لسبب ذلك")</f>
        <v>&lt;(أ) بسبب ؛ (ب) لسبب ذلك</v>
      </c>
    </row>
    <row r="553" ht="15.75" customHeight="1">
      <c r="A553" s="1" t="s">
        <v>698</v>
      </c>
      <c r="B553" s="2" t="s">
        <v>699</v>
      </c>
      <c r="C553" s="2"/>
    </row>
    <row r="554" ht="15.75" customHeight="1">
      <c r="B554" s="2" t="s">
        <v>700</v>
      </c>
      <c r="C554" s="2" t="s">
        <v>701</v>
      </c>
    </row>
    <row r="555" ht="15.75" customHeight="1">
      <c r="A555" s="2" t="s">
        <v>4</v>
      </c>
      <c r="B555" s="2" t="str">
        <f>IFERROR(__xludf.DUMMYFUNCTION("CONCAT(""&lt;"",GOOGLETRANSLATE(B554,""en"",""ar""))"),"&lt;لرغبة")</f>
        <v>&lt;لرغبة</v>
      </c>
      <c r="C555" s="2" t="str">
        <f>IFERROR(__xludf.DUMMYFUNCTION("CONCAT(""&lt;"",GOOGLETRANSLATE(C554,""en"",""ar""))"),"&lt;(أ) PI. لتتدة ل (ب) HITP. لتتدة ل")</f>
        <v>&lt;(أ) PI. لتتدة ل (ب) HITP. لتتدة ل</v>
      </c>
    </row>
    <row r="556" ht="15.75" customHeight="1">
      <c r="A556" s="1" t="s">
        <v>702</v>
      </c>
      <c r="B556" s="2" t="s">
        <v>703</v>
      </c>
      <c r="C556" s="2"/>
    </row>
    <row r="557" ht="15.75" customHeight="1">
      <c r="B557" s="2" t="s">
        <v>704</v>
      </c>
    </row>
    <row r="558" ht="15.75" customHeight="1">
      <c r="A558" s="2" t="s">
        <v>4</v>
      </c>
      <c r="B558" s="2" t="str">
        <f>IFERROR(__xludf.DUMMYFUNCTION("CONCAT(""&lt;"",GOOGLETRANSLATE(B557,""en"",""ar""))"),"&lt;لتحديد")</f>
        <v>&lt;لتحديد</v>
      </c>
      <c r="C558" s="2"/>
    </row>
    <row r="559" ht="15.75" customHeight="1">
      <c r="A559" s="1" t="s">
        <v>705</v>
      </c>
      <c r="B559" s="2" t="s">
        <v>706</v>
      </c>
      <c r="C559" s="2"/>
    </row>
    <row r="560" ht="15.75" customHeight="1">
      <c r="B560" s="2" t="s">
        <v>48</v>
      </c>
      <c r="C560" s="2" t="s">
        <v>707</v>
      </c>
    </row>
    <row r="561" ht="15.75" customHeight="1">
      <c r="A561" s="2" t="s">
        <v>4</v>
      </c>
      <c r="B561" s="2" t="str">
        <f>IFERROR(__xludf.DUMMYFUNCTION("CONCAT(""&lt;"",GOOGLETRANSLATE(B560,""en"",""ar""))"),"&lt;يرغب")</f>
        <v>&lt;يرغب</v>
      </c>
      <c r="C561" s="2" t="str">
        <f>IFERROR(__xludf.DUMMYFUNCTION("CONCAT(""&lt;"",GOOGLETRANSLATE(C560,""en"",""ar""))"),"&lt;الشوق")</f>
        <v>&lt;الشوق</v>
      </c>
    </row>
    <row r="562" ht="15.75" customHeight="1">
      <c r="A562" s="1" t="s">
        <v>708</v>
      </c>
      <c r="B562" s="2" t="s">
        <v>709</v>
      </c>
      <c r="C562" s="2"/>
    </row>
    <row r="563" ht="15.75" customHeight="1">
      <c r="B563" s="2" t="s">
        <v>710</v>
      </c>
      <c r="C563" s="2" t="s">
        <v>711</v>
      </c>
    </row>
    <row r="564" ht="15.75" customHeight="1">
      <c r="A564" s="2" t="s">
        <v>4</v>
      </c>
      <c r="B564" s="2" t="str">
        <f>IFERROR(__xludf.DUMMYFUNCTION("CONCAT(""&lt;"",GOOGLETRANSLATE(B563,""en"",""ar""))"),"&lt;أوزاي")</f>
        <v>&lt;أوزاي</v>
      </c>
      <c r="C564" s="2" t="str">
        <f>IFERROR(__xludf.DUMMYFUNCTION("CONCAT(""&lt;"",GOOGLETRANSLATE(C563,""en"",""ar""))"),"&lt;أوزاي والد بالال وقت نحميا")</f>
        <v>&lt;أوزاي والد بالال وقت نحميا</v>
      </c>
    </row>
    <row r="565" ht="15.75" customHeight="1">
      <c r="A565" s="1" t="s">
        <v>712</v>
      </c>
      <c r="B565" s="2" t="s">
        <v>713</v>
      </c>
      <c r="C565" s="2"/>
    </row>
    <row r="566" ht="15.75" customHeight="1">
      <c r="B566" s="2" t="s">
        <v>714</v>
      </c>
      <c r="C566" s="2" t="s">
        <v>715</v>
      </c>
    </row>
    <row r="567" ht="15.75" customHeight="1">
      <c r="A567" s="2" t="s">
        <v>4</v>
      </c>
      <c r="B567" s="2" t="str">
        <f>IFERROR(__xludf.DUMMYFUNCTION("CONCAT(""&lt;"",GOOGLETRANSLATE(B566,""en"",""ar""))"),"&lt;أوزال")</f>
        <v>&lt;أوزال</v>
      </c>
      <c r="C567" s="2" t="str">
        <f>IFERROR(__xludf.DUMMYFUNCTION("CONCAT(""&lt;"",GOOGLETRANSLATE(C566,""en"",""ar""))"),"&lt;أوزال ابن جوكتان ؛ سليل شيم")</f>
        <v>&lt;أوزال ابن جوكتان ؛ سليل شيم</v>
      </c>
    </row>
    <row r="568" ht="15.75" customHeight="1">
      <c r="A568" s="1" t="s">
        <v>716</v>
      </c>
      <c r="B568" s="2" t="s">
        <v>717</v>
      </c>
      <c r="C568" s="2"/>
    </row>
    <row r="569" ht="15.75" customHeight="1">
      <c r="B569" s="2" t="s">
        <v>718</v>
      </c>
      <c r="C569" s="2" t="s">
        <v>719</v>
      </c>
    </row>
    <row r="570" ht="15.75" customHeight="1">
      <c r="A570" s="2" t="s">
        <v>4</v>
      </c>
      <c r="B570" s="2" t="str">
        <f>IFERROR(__xludf.DUMMYFUNCTION("CONCAT(""&lt;"",GOOGLETRANSLATE(B569,""en"",""ar""))"),"&lt;ويل!")</f>
        <v>&lt;ويل!</v>
      </c>
      <c r="C570" s="2" t="str">
        <f>IFERROR(__xludf.DUMMYFUNCTION("CONCAT(""&lt;"",GOOGLETRANSLATE(C569,""en"",""ar""))"),"&lt;ويل التدخل!")</f>
        <v>&lt;ويل التدخل!</v>
      </c>
    </row>
    <row r="571" ht="15.75" customHeight="1">
      <c r="A571" s="1" t="s">
        <v>720</v>
      </c>
      <c r="B571" s="2" t="s">
        <v>721</v>
      </c>
      <c r="C571" s="2"/>
    </row>
    <row r="572" ht="15.75" customHeight="1">
      <c r="B572" s="2" t="s">
        <v>722</v>
      </c>
      <c r="C572" s="2" t="s">
        <v>723</v>
      </c>
    </row>
    <row r="573" ht="15.75" customHeight="1">
      <c r="A573" s="2" t="s">
        <v>4</v>
      </c>
      <c r="B573" s="2" t="str">
        <f>IFERROR(__xludf.DUMMYFUNCTION("CONCAT(""&lt;"",GOOGLETRANSLATE(B572,""en"",""ar""))"),"&lt;إيفي")</f>
        <v>&lt;إيفي</v>
      </c>
      <c r="C573" s="2" t="str">
        <f>IFERROR(__xludf.DUMMYFUNCTION("CONCAT(""&lt;"",GOOGLETRANSLATE(C572,""en"",""ar""))"),"&lt;إيفي ملك مديان")</f>
        <v>&lt;إيفي ملك مديان</v>
      </c>
    </row>
    <row r="574" ht="15.75" customHeight="1">
      <c r="A574" s="1" t="s">
        <v>724</v>
      </c>
      <c r="B574" s="2" t="s">
        <v>725</v>
      </c>
      <c r="C574" s="2"/>
    </row>
    <row r="575" ht="15.75" customHeight="1">
      <c r="B575" s="2" t="s">
        <v>718</v>
      </c>
      <c r="C575" s="2" t="s">
        <v>726</v>
      </c>
    </row>
    <row r="576" ht="15.75" customHeight="1">
      <c r="A576" s="2" t="s">
        <v>4</v>
      </c>
      <c r="B576" s="2" t="str">
        <f>IFERROR(__xludf.DUMMYFUNCTION("CONCAT(""&lt;"",GOOGLETRANSLATE(B575,""en"",""ar""))"),"&lt;ويل!")</f>
        <v>&lt;ويل!</v>
      </c>
      <c r="C576" s="2" t="str">
        <f>IFERROR(__xludf.DUMMYFUNCTION("CONCAT(""&lt;"",GOOGLETRANSLATE(C575,""en"",""ar""))"),"&lt;التدخل للأسف!")</f>
        <v>&lt;التدخل للأسف!</v>
      </c>
    </row>
    <row r="577" ht="15.75" customHeight="1">
      <c r="A577" s="1" t="s">
        <v>727</v>
      </c>
      <c r="B577" s="2" t="s">
        <v>728</v>
      </c>
      <c r="C577" s="2"/>
    </row>
    <row r="578" ht="15.75" customHeight="1">
      <c r="B578" s="2" t="s">
        <v>729</v>
      </c>
      <c r="C578" s="2" t="s">
        <v>730</v>
      </c>
    </row>
    <row r="579" ht="15.75" customHeight="1">
      <c r="A579" s="2" t="s">
        <v>4</v>
      </c>
      <c r="B579" s="2" t="str">
        <f>IFERROR(__xludf.DUMMYFUNCTION("CONCAT(""&lt;"",GOOGLETRANSLATE(B578,""en"",""ar""))"),"&lt;غبي)")</f>
        <v>&lt;غبي)</v>
      </c>
      <c r="C579" s="2" t="str">
        <f>IFERROR(__xludf.DUMMYFUNCTION("CONCAT(""&lt;"",GOOGLETRANSLATE(C578,""en"",""ar""))"),"&lt;حمقاء ، عاجز")</f>
        <v>&lt;حمقاء ، عاجز</v>
      </c>
    </row>
    <row r="580" ht="15.75" customHeight="1">
      <c r="A580" s="1" t="s">
        <v>731</v>
      </c>
      <c r="B580" s="2" t="s">
        <v>732</v>
      </c>
      <c r="C580" s="2"/>
    </row>
    <row r="581" ht="15.75" customHeight="1">
      <c r="B581" s="2" t="s">
        <v>733</v>
      </c>
      <c r="C581" s="2" t="s">
        <v>734</v>
      </c>
    </row>
    <row r="582" ht="15.75" customHeight="1">
      <c r="A582" s="2" t="s">
        <v>4</v>
      </c>
      <c r="B582" s="2" t="str">
        <f>IFERROR(__xludf.DUMMYFUNCTION("CONCAT(""&lt;"",GOOGLETRANSLATE(B581,""en"",""ar""))"),"&lt;الشر مراكش")</f>
        <v>&lt;الشر مراكش</v>
      </c>
      <c r="C582" s="2" t="str">
        <f>IFERROR(__xludf.DUMMYFUNCTION("CONCAT(""&lt;"",GOOGLETRANSLATE(C581,""en"",""ar""))"),"&lt;الشر مراكش ملك بابل")</f>
        <v>&lt;الشر مراكش ملك بابل</v>
      </c>
    </row>
    <row r="583" ht="15.75" customHeight="1">
      <c r="A583" s="1" t="s">
        <v>735</v>
      </c>
      <c r="B583" s="2" t="s">
        <v>736</v>
      </c>
      <c r="C583" s="2"/>
    </row>
    <row r="584" ht="15.75" customHeight="1">
      <c r="B584" s="2" t="s">
        <v>169</v>
      </c>
      <c r="C584" s="2" t="s">
        <v>737</v>
      </c>
    </row>
    <row r="585" ht="15.75" customHeight="1">
      <c r="A585" s="2" t="s">
        <v>4</v>
      </c>
      <c r="B585" s="2" t="str">
        <f>IFERROR(__xludf.DUMMYFUNCTION("CONCAT(""&lt;"",GOOGLETRANSLATE(B584,""en"",""ar""))"),"&lt;الجبار")</f>
        <v>&lt;الجبار</v>
      </c>
      <c r="C585" s="2" t="str">
        <f>IFERROR(__xludf.DUMMYFUNCTION("CONCAT(""&lt;"",GOOGLETRANSLATE(C584,""en"",""ar""))"),"&lt;&gt; الجسم؟")</f>
        <v>&lt;&gt; الجسم؟</v>
      </c>
    </row>
    <row r="586" ht="15.75" customHeight="1">
      <c r="A586" s="1" t="s">
        <v>738</v>
      </c>
      <c r="B586" s="2" t="s">
        <v>739</v>
      </c>
      <c r="C586" s="2"/>
    </row>
    <row r="587" ht="15.75" customHeight="1">
      <c r="B587" s="2" t="s">
        <v>169</v>
      </c>
      <c r="C587" s="2" t="s">
        <v>737</v>
      </c>
    </row>
    <row r="588" ht="15.75" customHeight="1">
      <c r="A588" s="2" t="s">
        <v>4</v>
      </c>
      <c r="B588" s="2" t="str">
        <f>IFERROR(__xludf.DUMMYFUNCTION("CONCAT(""&lt;"",GOOGLETRANSLATE(B587,""en"",""ar""))"),"&lt;الجبار")</f>
        <v>&lt;الجبار</v>
      </c>
      <c r="C588" s="2" t="str">
        <f>IFERROR(__xludf.DUMMYFUNCTION("CONCAT(""&lt;"",GOOGLETRANSLATE(C587,""en"",""ar""))"),"&lt;&gt; الجسم؟")</f>
        <v>&lt;&gt; الجسم؟</v>
      </c>
    </row>
    <row r="589" ht="15.75" customHeight="1">
      <c r="A589" s="1" t="s">
        <v>740</v>
      </c>
      <c r="B589" s="2" t="s">
        <v>741</v>
      </c>
      <c r="C589" s="2"/>
    </row>
    <row r="590" ht="15.75" customHeight="1">
      <c r="B590" s="2" t="s">
        <v>742</v>
      </c>
      <c r="C590" s="2" t="s">
        <v>743</v>
      </c>
    </row>
    <row r="591" ht="15.75" customHeight="1">
      <c r="A591" s="2" t="s">
        <v>4</v>
      </c>
      <c r="B591" s="2" t="str">
        <f>IFERROR(__xludf.DUMMYFUNCTION("CONCAT(""&lt;"",GOOGLETRANSLATE(B590,""en"",""ar""))"),"&lt;ربما")</f>
        <v>&lt;ربما</v>
      </c>
      <c r="C591" s="2" t="str">
        <f>IFERROR(__xludf.DUMMYFUNCTION("CONCAT(""&lt;"",GOOGLETRANSLATE(C590,""en"",""ar""))"),"&lt;الاقتران: ربما")</f>
        <v>&lt;الاقتران: ربما</v>
      </c>
    </row>
    <row r="592" ht="15.75" customHeight="1">
      <c r="A592" s="1" t="s">
        <v>744</v>
      </c>
      <c r="B592" s="2" t="s">
        <v>745</v>
      </c>
      <c r="C592" s="2"/>
    </row>
    <row r="593" ht="15.75" customHeight="1">
      <c r="B593" s="2" t="s">
        <v>746</v>
      </c>
      <c r="C593" s="2" t="s">
        <v>747</v>
      </c>
    </row>
    <row r="594" ht="15.75" customHeight="1">
      <c r="A594" s="2" t="s">
        <v>4</v>
      </c>
      <c r="B594" s="2" t="str">
        <f>IFERROR(__xludf.DUMMYFUNCTION("CONCAT(""&lt;"",GOOGLETRANSLATE(B593,""en"",""ar""))"),"&lt;أولاي")</f>
        <v>&lt;أولاي</v>
      </c>
      <c r="C594" s="2" t="str">
        <f>IFERROR(__xludf.DUMMYFUNCTION("CONCAT(""&lt;"",GOOGLETRANSLATE(C593,""en"",""ar""))"),"&lt;أولاي نهر؛ بلاد فارس")</f>
        <v>&lt;أولاي نهر؛ بلاد فارس</v>
      </c>
    </row>
    <row r="595" ht="15.75" customHeight="1">
      <c r="A595" s="1" t="s">
        <v>748</v>
      </c>
      <c r="B595" s="2" t="s">
        <v>749</v>
      </c>
      <c r="C595" s="2"/>
    </row>
    <row r="596" ht="15.75" customHeight="1">
      <c r="B596" s="2" t="s">
        <v>750</v>
      </c>
      <c r="C596" s="2" t="s">
        <v>750</v>
      </c>
    </row>
    <row r="597" ht="15.75" customHeight="1">
      <c r="A597" s="2" t="s">
        <v>4</v>
      </c>
      <c r="B597" s="2" t="str">
        <f>IFERROR(__xludf.DUMMYFUNCTION("CONCAT(""&lt;"",GOOGLETRANSLATE(B596,""en"",""ar""))"),"&lt;غبي")</f>
        <v>&lt;غبي</v>
      </c>
      <c r="C597" s="2" t="str">
        <f>IFERROR(__xludf.DUMMYFUNCTION("CONCAT(""&lt;"",GOOGLETRANSLATE(C596,""en"",""ar""))"),"&lt;غبي")</f>
        <v>&lt;غبي</v>
      </c>
    </row>
    <row r="598" ht="15.75" customHeight="1">
      <c r="A598" s="1" t="s">
        <v>751</v>
      </c>
      <c r="B598" s="2" t="s">
        <v>752</v>
      </c>
      <c r="C598" s="2"/>
    </row>
    <row r="599" ht="15.75" customHeight="1">
      <c r="B599" s="2" t="s">
        <v>753</v>
      </c>
      <c r="C599" s="2" t="s">
        <v>754</v>
      </c>
    </row>
    <row r="600" ht="15.75" customHeight="1">
      <c r="A600" s="2" t="s">
        <v>4</v>
      </c>
      <c r="B600" s="2" t="str">
        <f>IFERROR(__xludf.DUMMYFUNCTION("CONCAT(""&lt;"",GOOGLETRANSLATE(B599,""en"",""ar""))"),"&lt;رواق .. شرفة بيت ارضي")</f>
        <v>&lt;رواق .. شرفة بيت ارضي</v>
      </c>
      <c r="C600" s="2" t="str">
        <f>IFERROR(__xludf.DUMMYFUNCTION("CONCAT(""&lt;"",GOOGLETRANSLATE(C599,""en"",""ar""))"),"&lt;(1 أ) الشرفة")</f>
        <v>&lt;(1 أ) الشرفة</v>
      </c>
    </row>
    <row r="601" ht="15.75" customHeight="1">
      <c r="A601" s="1" t="s">
        <v>755</v>
      </c>
      <c r="B601" s="2" t="s">
        <v>756</v>
      </c>
      <c r="C601" s="2"/>
    </row>
    <row r="602" ht="15.75" customHeight="1">
      <c r="B602" s="2" t="s">
        <v>757</v>
      </c>
      <c r="C602" s="2" t="s">
        <v>758</v>
      </c>
    </row>
    <row r="603" ht="15.75" customHeight="1">
      <c r="A603" s="2" t="s">
        <v>4</v>
      </c>
      <c r="B603" s="2" t="str">
        <f>IFERROR(__xludf.DUMMYFUNCTION("CONCAT(""&lt;"",GOOGLETRANSLATE(B602,""en"",""ar""))"),"&lt;أولام")</f>
        <v>&lt;أولام</v>
      </c>
      <c r="C603" s="2" t="str">
        <f>IFERROR(__xludf.DUMMYFUNCTION("CONCAT(""&lt;"",GOOGLETRANSLATE(C602,""en"",""ar""))"),"&lt;(1 ب) فقط ؛ (2A) أولام ؛ ابن بيش. قبيلة ماناسه ؛ (2 ب) أولام ؛ ابن إيشك. قبيلة بنيامين")</f>
        <v>&lt;(1 ب) فقط ؛ (2A) أولام ؛ ابن بيش. قبيلة ماناسه ؛ (2 ب) أولام ؛ ابن إيشك. قبيلة بنيامين</v>
      </c>
    </row>
    <row r="604" ht="15.75" customHeight="1">
      <c r="A604" s="1" t="s">
        <v>759</v>
      </c>
      <c r="B604" s="2" t="s">
        <v>760</v>
      </c>
      <c r="C604" s="2"/>
    </row>
    <row r="605" ht="15.75" customHeight="1">
      <c r="B605" s="2" t="s">
        <v>761</v>
      </c>
    </row>
    <row r="606" ht="15.75" customHeight="1">
      <c r="A606" s="2" t="s">
        <v>4</v>
      </c>
      <c r="B606" s="2" t="str">
        <f>IFERROR(__xludf.DUMMYFUNCTION("CONCAT(""&lt;"",GOOGLETRANSLATE(B605,""en"",""ar""))"),"&lt;لكن")</f>
        <v>&lt;لكن</v>
      </c>
      <c r="C606" s="2"/>
    </row>
    <row r="607" ht="15.75" customHeight="1">
      <c r="A607" s="1" t="s">
        <v>762</v>
      </c>
      <c r="B607" s="2" t="s">
        <v>763</v>
      </c>
      <c r="C607" s="2"/>
    </row>
    <row r="608" ht="15.75" customHeight="1">
      <c r="B608" s="2" t="s">
        <v>764</v>
      </c>
      <c r="C608" s="2" t="s">
        <v>764</v>
      </c>
    </row>
    <row r="609" ht="15.75" customHeight="1">
      <c r="A609" s="2" t="s">
        <v>4</v>
      </c>
      <c r="B609" s="2" t="str">
        <f>IFERROR(__xludf.DUMMYFUNCTION("CONCAT(""&lt;"",GOOGLETRANSLATE(B608,""en"",""ar""))"),"&lt;حماقة")</f>
        <v>&lt;حماقة</v>
      </c>
      <c r="C609" s="2" t="str">
        <f>IFERROR(__xludf.DUMMYFUNCTION("CONCAT(""&lt;"",GOOGLETRANSLATE(C608,""en"",""ar""))"),"&lt;حماقة")</f>
        <v>&lt;حماقة</v>
      </c>
    </row>
    <row r="610" ht="15.75" customHeight="1">
      <c r="A610" s="1" t="s">
        <v>765</v>
      </c>
      <c r="B610" s="2" t="s">
        <v>766</v>
      </c>
      <c r="C610" s="2"/>
    </row>
    <row r="611" ht="15.75" customHeight="1">
      <c r="B611" s="2" t="s">
        <v>767</v>
      </c>
      <c r="C611" s="2" t="s">
        <v>768</v>
      </c>
    </row>
    <row r="612" ht="15.75" customHeight="1">
      <c r="A612" s="2" t="s">
        <v>4</v>
      </c>
      <c r="B612" s="2" t="str">
        <f>IFERROR(__xludf.DUMMYFUNCTION("CONCAT(""&lt;"",GOOGLETRANSLATE(B611,""en"",""ar""))"),"&lt;عمر")</f>
        <v>&lt;عمر</v>
      </c>
      <c r="C612" s="2" t="str">
        <f>IFERROR(__xludf.DUMMYFUNCTION("CONCAT(""&lt;"",GOOGLETRANSLATE(C611,""en"",""ar""))"),"&lt;عمر ابن إلفاز ، ابن عيسو")</f>
        <v>&lt;عمر ابن إلفاز ، ابن عيسو</v>
      </c>
    </row>
    <row r="613" ht="15.75" customHeight="1">
      <c r="A613" s="1" t="s">
        <v>769</v>
      </c>
      <c r="B613" s="2" t="s">
        <v>770</v>
      </c>
      <c r="C613" s="2"/>
    </row>
    <row r="614" ht="15.75" customHeight="1">
      <c r="B614" s="2" t="s">
        <v>771</v>
      </c>
    </row>
    <row r="615" ht="15.75" customHeight="1">
      <c r="A615" s="2" t="s">
        <v>4</v>
      </c>
      <c r="B615" s="2" t="str">
        <f>IFERROR(__xludf.DUMMYFUNCTION("CONCAT(""&lt;"",GOOGLETRANSLATE(B614,""en"",""ar""))"),"&lt;قوة")</f>
        <v>&lt;قوة</v>
      </c>
      <c r="C615" s="2"/>
    </row>
    <row r="616" ht="15.75" customHeight="1">
      <c r="A616" s="1" t="s">
        <v>772</v>
      </c>
      <c r="B616" s="2" t="s">
        <v>773</v>
      </c>
      <c r="C616" s="2"/>
    </row>
    <row r="617" ht="15.75" customHeight="1">
      <c r="B617" s="2" t="s">
        <v>774</v>
      </c>
      <c r="C617" s="2" t="s">
        <v>774</v>
      </c>
    </row>
    <row r="618" ht="15.75" customHeight="1">
      <c r="A618" s="2" t="s">
        <v>4</v>
      </c>
      <c r="B618" s="2" t="str">
        <f>IFERROR(__xludf.DUMMYFUNCTION("CONCAT(""&lt;"",GOOGLETRANSLATE(B617,""en"",""ar""))"),"&lt;على")</f>
        <v>&lt;على</v>
      </c>
      <c r="C618" s="2" t="str">
        <f>IFERROR(__xludf.DUMMYFUNCTION("CONCAT(""&lt;"",GOOGLETRANSLATE(C617,""en"",""ar""))"),"&lt;على")</f>
        <v>&lt;على</v>
      </c>
    </row>
    <row r="619" ht="15.75" customHeight="1">
      <c r="A619" s="1" t="s">
        <v>775</v>
      </c>
      <c r="B619" s="2" t="s">
        <v>776</v>
      </c>
      <c r="C619" s="2"/>
    </row>
    <row r="620" ht="15.75" customHeight="1">
      <c r="B620" s="2" t="s">
        <v>774</v>
      </c>
      <c r="C620" s="2" t="s">
        <v>774</v>
      </c>
    </row>
    <row r="621" ht="15.75" customHeight="1">
      <c r="A621" s="2" t="s">
        <v>4</v>
      </c>
      <c r="B621" s="2" t="str">
        <f>IFERROR(__xludf.DUMMYFUNCTION("CONCAT(""&lt;"",GOOGLETRANSLATE(B620,""en"",""ar""))"),"&lt;على")</f>
        <v>&lt;على</v>
      </c>
      <c r="C621" s="2" t="str">
        <f>IFERROR(__xludf.DUMMYFUNCTION("CONCAT(""&lt;"",GOOGLETRANSLATE(C620,""en"",""ar""))"),"&lt;على")</f>
        <v>&lt;على</v>
      </c>
    </row>
    <row r="622" ht="15.75" customHeight="1">
      <c r="A622" s="1" t="s">
        <v>777</v>
      </c>
      <c r="B622" s="2" t="s">
        <v>778</v>
      </c>
      <c r="C622" s="2"/>
    </row>
    <row r="623" ht="15.75" customHeight="1">
      <c r="B623" s="2" t="s">
        <v>779</v>
      </c>
      <c r="C623" s="2" t="s">
        <v>780</v>
      </c>
    </row>
    <row r="624" ht="15.75" customHeight="1">
      <c r="A624" s="2" t="s">
        <v>4</v>
      </c>
      <c r="B624" s="2" t="str">
        <f>IFERROR(__xludf.DUMMYFUNCTION("CONCAT(""&lt;"",GOOGLETRANSLATE(B623,""en"",""ar""))"),"&lt;شر")</f>
        <v>&lt;شر</v>
      </c>
      <c r="C624" s="2" t="str">
        <f>IFERROR(__xludf.DUMMYFUNCTION("CONCAT(""&lt;"",GOOGLETRANSLATE(C623,""en"",""ar""))"),"&lt;الأذى ، الشر")</f>
        <v>&lt;الأذى ، الشر</v>
      </c>
    </row>
    <row r="625" ht="15.75" customHeight="1">
      <c r="A625" s="1" t="s">
        <v>781</v>
      </c>
      <c r="B625" s="2" t="s">
        <v>782</v>
      </c>
      <c r="C625" s="2"/>
    </row>
    <row r="626" ht="15.75" customHeight="1">
      <c r="B626" s="2" t="s">
        <v>783</v>
      </c>
      <c r="C626" s="2" t="s">
        <v>784</v>
      </c>
    </row>
    <row r="627" ht="15.75" customHeight="1">
      <c r="A627" s="2" t="s">
        <v>4</v>
      </c>
      <c r="B627" s="2" t="str">
        <f>IFERROR(__xludf.DUMMYFUNCTION("CONCAT(""&lt;"",GOOGLETRANSLATE(B626,""en"",""ar""))"),"&lt;أفين")</f>
        <v>&lt;أفين</v>
      </c>
      <c r="C627" s="2" t="str">
        <f>IFERROR(__xludf.DUMMYFUNCTION("CONCAT(""&lt;"",GOOGLETRANSLATE(C626,""en"",""ar""))"),"&lt;(1) السلطة ، الثروة ؛ (2a) בֵּית־שֶׁמֶשׁ   On; بلدة؛ مصر؛ (2 ب) على ؛ ابن بيليث قبيلة روبن")</f>
        <v>&lt;(1) السلطة ، الثروة ؛ (2a) בֵּית־שֶׁמֶשׁ   On; بلدة؛ مصر؛ (2 ب) على ؛ ابن بيليث قبيلة روبن</v>
      </c>
    </row>
    <row r="628" ht="15.75" customHeight="1">
      <c r="A628" s="1" t="s">
        <v>785</v>
      </c>
      <c r="B628" s="2" t="s">
        <v>786</v>
      </c>
      <c r="C628" s="2"/>
    </row>
    <row r="629" ht="15.75" customHeight="1">
      <c r="B629" s="2" t="s">
        <v>787</v>
      </c>
      <c r="C629" s="2" t="s">
        <v>788</v>
      </c>
    </row>
    <row r="630" ht="15.75" customHeight="1">
      <c r="A630" s="2" t="s">
        <v>4</v>
      </c>
      <c r="B630" s="2" t="str">
        <f>IFERROR(__xludf.DUMMYFUNCTION("CONCAT(""&lt;"",GOOGLETRANSLATE(B629,""en"",""ar""))"),"&lt;أونو")</f>
        <v>&lt;أونو</v>
      </c>
      <c r="C630" s="2" t="str">
        <f>IFERROR(__xludf.DUMMYFUNCTION("CONCAT(""&lt;"",GOOGLETRANSLATE(C629,""en"",""ar""))"),"&lt;أونو بلدة؛ أراضي بنيامين")</f>
        <v>&lt;أونو بلدة؛ أراضي بنيامين</v>
      </c>
    </row>
    <row r="631" ht="15.75" customHeight="1">
      <c r="A631" s="1" t="s">
        <v>789</v>
      </c>
      <c r="B631" s="2" t="s">
        <v>790</v>
      </c>
      <c r="C631" s="2"/>
    </row>
    <row r="632" ht="15.75" customHeight="1">
      <c r="B632" s="2" t="s">
        <v>791</v>
      </c>
      <c r="C632" s="2" t="s">
        <v>792</v>
      </c>
    </row>
    <row r="633" ht="15.75" customHeight="1">
      <c r="A633" s="2" t="s">
        <v>4</v>
      </c>
      <c r="B633" s="2" t="str">
        <f>IFERROR(__xludf.DUMMYFUNCTION("CONCAT(""&lt;"",GOOGLETRANSLATE(B632,""en"",""ar""))"),"&lt;أونام")</f>
        <v>&lt;أونام</v>
      </c>
      <c r="C633" s="2" t="str">
        <f>IFERROR(__xludf.DUMMYFUNCTION("CONCAT(""&lt;"",GOOGLETRANSLATE(C632,""en"",""ar""))"),"&lt;(أ) أونام ؛ نجل شوبال ، ابن سير ؛ (ب) أونام ؛ ابن جيراهميل قبيلة يهوذا")</f>
        <v>&lt;(أ) أونام ؛ نجل شوبال ، ابن سير ؛ (ب) أونام ؛ ابن جيراهميل قبيلة يهوذا</v>
      </c>
    </row>
    <row r="634" ht="15.75" customHeight="1">
      <c r="A634" s="1" t="s">
        <v>793</v>
      </c>
      <c r="B634" s="2" t="s">
        <v>794</v>
      </c>
      <c r="C634" s="2"/>
    </row>
    <row r="635" ht="15.75" customHeight="1">
      <c r="B635" s="2" t="s">
        <v>795</v>
      </c>
      <c r="C635" s="2" t="s">
        <v>796</v>
      </c>
    </row>
    <row r="636" ht="15.75" customHeight="1">
      <c r="A636" s="2" t="s">
        <v>4</v>
      </c>
      <c r="B636" s="2" t="str">
        <f>IFERROR(__xludf.DUMMYFUNCTION("CONCAT(""&lt;"",GOOGLETRANSLATE(B635,""en"",""ar""))"),"&lt;على")</f>
        <v>&lt;على</v>
      </c>
      <c r="C636" s="2" t="str">
        <f>IFERROR(__xludf.DUMMYFUNCTION("CONCAT(""&lt;"",GOOGLETRANSLATE(C635,""en"",""ar""))"),"&lt;على؛ نجل يهوذا")</f>
        <v>&lt;على؛ نجل يهوذا</v>
      </c>
    </row>
    <row r="637" ht="15.75" customHeight="1">
      <c r="A637" s="1" t="s">
        <v>797</v>
      </c>
      <c r="B637" s="2" t="s">
        <v>798</v>
      </c>
      <c r="C637" s="2"/>
    </row>
    <row r="638" ht="15.75" customHeight="1">
      <c r="B638" s="2" t="s">
        <v>799</v>
      </c>
      <c r="C638" s="2" t="s">
        <v>800</v>
      </c>
    </row>
    <row r="639" ht="15.75" customHeight="1">
      <c r="A639" s="2" t="s">
        <v>4</v>
      </c>
      <c r="B639" s="2" t="str">
        <f>IFERROR(__xludf.DUMMYFUNCTION("CONCAT(""&lt;"",GOOGLETRANSLATE(B638,""en"",""ar""))"),"&lt;Uphaz")</f>
        <v>&lt;Uphaz</v>
      </c>
      <c r="C639" s="2" t="str">
        <f>IFERROR(__xludf.DUMMYFUNCTION("CONCAT(""&lt;"",GOOGLETRANSLATE(C638,""en"",""ar""))"),"&lt;فوهاز أرض")</f>
        <v>&lt;فوهاز أرض</v>
      </c>
    </row>
    <row r="640" ht="15.75" customHeight="1">
      <c r="A640" s="1" t="s">
        <v>801</v>
      </c>
      <c r="B640" s="2" t="s">
        <v>802</v>
      </c>
      <c r="C640" s="2"/>
    </row>
    <row r="641" ht="15.75" customHeight="1">
      <c r="B641" s="2" t="s">
        <v>803</v>
      </c>
      <c r="C641" s="2" t="s">
        <v>804</v>
      </c>
    </row>
    <row r="642" ht="15.75" customHeight="1">
      <c r="A642" s="2" t="s">
        <v>4</v>
      </c>
      <c r="B642" s="2" t="str">
        <f>IFERROR(__xludf.DUMMYFUNCTION("CONCAT(""&lt;"",GOOGLETRANSLATE(B641,""en"",""ar""))"),"&lt;أوبير")</f>
        <v>&lt;أوبير</v>
      </c>
      <c r="C642" s="2" t="str">
        <f>IFERROR(__xludf.DUMMYFUNCTION("CONCAT(""&lt;"",GOOGLETRANSLATE(C641,""en"",""ar""))"),"&lt;أوبير ابن جوكتان ؛ سليل شيم. أرض")</f>
        <v>&lt;أوبير ابن جوكتان ؛ سليل شيم. أرض</v>
      </c>
    </row>
    <row r="643" ht="15.75" customHeight="1">
      <c r="A643" s="1" t="s">
        <v>805</v>
      </c>
      <c r="B643" s="2" t="s">
        <v>806</v>
      </c>
      <c r="C643" s="2"/>
    </row>
    <row r="644" ht="15.75" customHeight="1">
      <c r="B644" s="2" t="s">
        <v>257</v>
      </c>
      <c r="C644" s="2" t="s">
        <v>257</v>
      </c>
    </row>
    <row r="645" ht="15.75" customHeight="1">
      <c r="A645" s="2" t="s">
        <v>4</v>
      </c>
      <c r="B645" s="2" t="str">
        <f>IFERROR(__xludf.DUMMYFUNCTION("CONCAT(""&lt;"",GOOGLETRANSLATE(B644,""en"",""ar""))"),"&lt;عجلة")</f>
        <v>&lt;عجلة</v>
      </c>
      <c r="C645" s="2" t="str">
        <f>IFERROR(__xludf.DUMMYFUNCTION("CONCAT(""&lt;"",GOOGLETRANSLATE(C644,""en"",""ar""))"),"&lt;عجلة")</f>
        <v>&lt;عجلة</v>
      </c>
    </row>
    <row r="646" ht="15.75" customHeight="1">
      <c r="A646" s="1" t="s">
        <v>807</v>
      </c>
      <c r="B646" s="2" t="s">
        <v>808</v>
      </c>
      <c r="C646" s="2"/>
    </row>
    <row r="647" ht="15.75" customHeight="1">
      <c r="B647" s="2" t="s">
        <v>809</v>
      </c>
      <c r="C647" s="2" t="s">
        <v>810</v>
      </c>
    </row>
    <row r="648" ht="15.75" customHeight="1">
      <c r="A648" s="2" t="s">
        <v>4</v>
      </c>
      <c r="B648" s="2" t="str">
        <f>IFERROR(__xludf.DUMMYFUNCTION("CONCAT(""&lt;"",GOOGLETRANSLATE(B647,""en"",""ar""))"),"&lt;لتسريع")</f>
        <v>&lt;لتسريع</v>
      </c>
      <c r="C648" s="2" t="str">
        <f>IFERROR(__xludf.DUMMYFUNCTION("CONCAT(""&lt;"",GOOGLETRANSLATE(C647,""en"",""ar""))"),"&lt;(أ) QAL للضغط ، تسريع ؛ (ب) QAL لتكون ضيقة. (ج) HIF. لكي يحث")</f>
        <v>&lt;(أ) QAL للضغط ، تسريع ؛ (ب) QAL لتكون ضيقة. (ج) HIF. لكي يحث</v>
      </c>
    </row>
    <row r="649" ht="15.75" customHeight="1">
      <c r="A649" s="1" t="s">
        <v>811</v>
      </c>
      <c r="B649" s="2" t="s">
        <v>812</v>
      </c>
      <c r="C649" s="2"/>
    </row>
    <row r="650" ht="15.75" customHeight="1">
      <c r="B650" s="2" t="s">
        <v>813</v>
      </c>
      <c r="C650" s="2" t="s">
        <v>814</v>
      </c>
    </row>
    <row r="651" ht="15.75" customHeight="1">
      <c r="A651" s="2" t="s">
        <v>4</v>
      </c>
      <c r="B651" s="2" t="str">
        <f>IFERROR(__xludf.DUMMYFUNCTION("CONCAT(""&lt;"",GOOGLETRANSLATE(B650,""en"",""ar""))"),"&lt;كنز")</f>
        <v>&lt;كنز</v>
      </c>
      <c r="C651" s="2" t="str">
        <f>IFERROR(__xludf.DUMMYFUNCTION("CONCAT(""&lt;"",GOOGLETRANSLATE(C650,""en"",""ar""))"),"&lt;محل")</f>
        <v>&lt;محل</v>
      </c>
    </row>
    <row r="652" ht="15.75" customHeight="1">
      <c r="A652" s="1" t="s">
        <v>815</v>
      </c>
      <c r="B652" s="2" t="s">
        <v>816</v>
      </c>
      <c r="C652" s="2"/>
    </row>
    <row r="653" ht="15.75" customHeight="1">
      <c r="B653" s="2" t="s">
        <v>817</v>
      </c>
      <c r="C653" s="2" t="s">
        <v>818</v>
      </c>
    </row>
    <row r="654" ht="15.75" customHeight="1">
      <c r="A654" s="2" t="s">
        <v>4</v>
      </c>
      <c r="B654" s="2" t="str">
        <f>IFERROR(__xludf.DUMMYFUNCTION("CONCAT(""&lt;"",GOOGLETRANSLATE(B653,""en"",""ar""))"),"&lt;إلى الضوء")</f>
        <v>&lt;إلى الضوء</v>
      </c>
      <c r="C654" s="2" t="str">
        <f>IFERROR(__xludf.DUMMYFUNCTION("CONCAT(""&lt;"",GOOGLETRANSLATE(C653,""en"",""ar""))"),"&lt;(أ) QAL للتألق ؛ (ب) نيف. لتصبح مشرقة (ج) HIF. لتنوير؛ لإلقاء الضوء؛ لإعطاء الضوء")</f>
        <v>&lt;(أ) QAL للتألق ؛ (ب) نيف. لتصبح مشرقة (ج) HIF. لتنوير؛ لإلقاء الضوء؛ لإعطاء الضوء</v>
      </c>
    </row>
    <row r="655" ht="15.75" customHeight="1">
      <c r="A655" s="1" t="s">
        <v>819</v>
      </c>
      <c r="B655" s="2" t="s">
        <v>820</v>
      </c>
      <c r="C655" s="2"/>
    </row>
    <row r="656" ht="15.75" customHeight="1">
      <c r="B656" s="2" t="s">
        <v>821</v>
      </c>
      <c r="C656" s="2" t="s">
        <v>822</v>
      </c>
    </row>
    <row r="657" ht="15.75" customHeight="1">
      <c r="A657" s="2" t="s">
        <v>4</v>
      </c>
      <c r="B657" s="2" t="str">
        <f>IFERROR(__xludf.DUMMYFUNCTION("CONCAT(""&lt;"",GOOGLETRANSLATE(B656,""en"",""ar""))"),"&lt;ضوء")</f>
        <v>&lt;ضوء</v>
      </c>
      <c r="C657" s="2" t="str">
        <f>IFERROR(__xludf.DUMMYFUNCTION("CONCAT(""&lt;"",GOOGLETRANSLATE(C656,""en"",""ar""))"),"&lt;(أ) الضوء ، الرخاء ؛ (ب) ميلو")</f>
        <v>&lt;(أ) الضوء ، الرخاء ؛ (ب) ميلو</v>
      </c>
    </row>
    <row r="658" ht="15.75" customHeight="1">
      <c r="A658" s="1" t="s">
        <v>823</v>
      </c>
      <c r="B658" s="2" t="s">
        <v>824</v>
      </c>
      <c r="C658" s="2"/>
    </row>
    <row r="659" ht="15.75" customHeight="1">
      <c r="B659" s="2" t="s">
        <v>825</v>
      </c>
      <c r="C659" s="2" t="s">
        <v>826</v>
      </c>
    </row>
    <row r="660" ht="15.75" customHeight="1">
      <c r="A660" s="2" t="s">
        <v>4</v>
      </c>
      <c r="B660" s="2" t="str">
        <f>IFERROR(__xludf.DUMMYFUNCTION("CONCAT(""&lt;"",GOOGLETRANSLATE(B659,""en"",""ar""))"),"&lt;لهب")</f>
        <v>&lt;لهب</v>
      </c>
      <c r="C660" s="2" t="str">
        <f>IFERROR(__xludf.DUMMYFUNCTION("CONCAT(""&lt;"",GOOGLETRANSLATE(C659,""en"",""ar""))"),"&lt;نار")</f>
        <v>&lt;نار</v>
      </c>
    </row>
    <row r="661" ht="15.75" customHeight="1">
      <c r="A661" s="1" t="s">
        <v>827</v>
      </c>
      <c r="B661" s="2" t="s">
        <v>828</v>
      </c>
      <c r="C661" s="2"/>
    </row>
    <row r="662" ht="15.75" customHeight="1">
      <c r="B662" s="2" t="s">
        <v>825</v>
      </c>
      <c r="C662" s="2" t="s">
        <v>829</v>
      </c>
    </row>
    <row r="663" ht="15.75" customHeight="1">
      <c r="A663" s="2" t="s">
        <v>4</v>
      </c>
      <c r="B663" s="2" t="str">
        <f>IFERROR(__xludf.DUMMYFUNCTION("CONCAT(""&lt;"",GOOGLETRANSLATE(B662,""en"",""ar""))"),"&lt;لهب")</f>
        <v>&lt;لهب</v>
      </c>
      <c r="C663" s="2" t="str">
        <f>IFERROR(__xludf.DUMMYFUNCTION("CONCAT(""&lt;"",GOOGLETRANSLATE(C662,""en"",""ar""))"),"&lt;منطقة الضوء")</f>
        <v>&lt;منطقة الضوء</v>
      </c>
    </row>
    <row r="664" ht="15.75" customHeight="1">
      <c r="A664" s="1" t="s">
        <v>830</v>
      </c>
      <c r="B664" s="2" t="s">
        <v>831</v>
      </c>
      <c r="C664" s="2"/>
    </row>
    <row r="665" ht="15.75" customHeight="1">
      <c r="B665" s="2" t="s">
        <v>832</v>
      </c>
      <c r="C665" s="2" t="s">
        <v>833</v>
      </c>
    </row>
    <row r="666" ht="15.75" customHeight="1">
      <c r="A666" s="2" t="s">
        <v>4</v>
      </c>
      <c r="B666" s="2" t="str">
        <f>IFERROR(__xludf.DUMMYFUNCTION("CONCAT(""&lt;"",GOOGLETRANSLATE(B665,""en"",""ar""))"),"&lt;أور")</f>
        <v>&lt;أور</v>
      </c>
      <c r="C666" s="2" t="str">
        <f>IFERROR(__xludf.DUMMYFUNCTION("CONCAT(""&lt;"",GOOGLETRANSLATE(C665,""en"",""ar""))"),"&lt;أور. والد إلفال ، محارب ، وقت الملك داود")</f>
        <v>&lt;أور. والد إلفال ، محارب ، وقت الملك داود</v>
      </c>
    </row>
    <row r="667" ht="15.75" customHeight="1">
      <c r="A667" s="1" t="s">
        <v>834</v>
      </c>
      <c r="B667" s="2" t="s">
        <v>835</v>
      </c>
      <c r="C667" s="2"/>
    </row>
    <row r="668" ht="15.75" customHeight="1">
      <c r="B668" s="2" t="s">
        <v>832</v>
      </c>
      <c r="C668" s="2" t="s">
        <v>836</v>
      </c>
    </row>
    <row r="669" ht="15.75" customHeight="1">
      <c r="A669" s="2" t="s">
        <v>4</v>
      </c>
      <c r="B669" s="2" t="str">
        <f>IFERROR(__xludf.DUMMYFUNCTION("CONCAT(""&lt;"",GOOGLETRANSLATE(B668,""en"",""ar""))"),"&lt;أور")</f>
        <v>&lt;أور</v>
      </c>
      <c r="C669" s="2" t="str">
        <f>IFERROR(__xludf.DUMMYFUNCTION("CONCAT(""&lt;"",GOOGLETRANSLATE(C668,""en"",""ar""))"),"&lt;أور. بلدة؛ بلاد ما بين النهرين")</f>
        <v>&lt;أور. بلدة؛ بلاد ما بين النهرين</v>
      </c>
    </row>
    <row r="670" ht="15.75" customHeight="1">
      <c r="A670" s="1" t="s">
        <v>837</v>
      </c>
      <c r="B670" s="2" t="s">
        <v>838</v>
      </c>
      <c r="C670" s="2"/>
    </row>
    <row r="671" ht="15.75" customHeight="1">
      <c r="B671" s="2" t="s">
        <v>821</v>
      </c>
      <c r="C671" s="2" t="s">
        <v>839</v>
      </c>
    </row>
    <row r="672" ht="15.75" customHeight="1">
      <c r="A672" s="2" t="s">
        <v>4</v>
      </c>
      <c r="B672" s="2" t="str">
        <f>IFERROR(__xludf.DUMMYFUNCTION("CONCAT(""&lt;"",GOOGLETRANSLATE(B671,""en"",""ar""))"),"&lt;ضوء")</f>
        <v>&lt;ضوء</v>
      </c>
      <c r="C672" s="2" t="str">
        <f>IFERROR(__xludf.DUMMYFUNCTION("CONCAT(""&lt;"",GOOGLETRANSLATE(C671,""en"",""ar""))"),"&lt;(مشتعل؛ (ب)؛ (ج) فيدا")</f>
        <v>&lt;(مشتعل؛ (ب)؛ (ج) فيدا</v>
      </c>
    </row>
    <row r="673" ht="15.75" customHeight="1">
      <c r="A673" s="1" t="s">
        <v>840</v>
      </c>
      <c r="B673" s="2" t="s">
        <v>841</v>
      </c>
      <c r="C673" s="2"/>
    </row>
    <row r="674" ht="15.75" customHeight="1">
      <c r="B674" s="2" t="s">
        <v>841</v>
      </c>
      <c r="C674" s="2" t="s">
        <v>841</v>
      </c>
    </row>
    <row r="675" ht="15.75" customHeight="1">
      <c r="A675" s="2" t="s">
        <v>4</v>
      </c>
      <c r="B675" s="2" t="str">
        <f>IFERROR(__xludf.DUMMYFUNCTION("CONCAT(""&lt;"",GOOGLETRANSLATE(B674,""en"",""ar""))"),"&lt;عشب")</f>
        <v>&lt;عشب</v>
      </c>
      <c r="C675" s="2" t="str">
        <f>IFERROR(__xludf.DUMMYFUNCTION("CONCAT(""&lt;"",GOOGLETRANSLATE(C674,""en"",""ar""))"),"&lt;عشب")</f>
        <v>&lt;عشب</v>
      </c>
    </row>
    <row r="676" ht="15.75" customHeight="1">
      <c r="A676" s="1" t="s">
        <v>842</v>
      </c>
      <c r="B676" s="2" t="s">
        <v>843</v>
      </c>
      <c r="C676" s="2"/>
    </row>
    <row r="677" ht="15.75" customHeight="1">
      <c r="B677" s="2" t="s">
        <v>844</v>
      </c>
      <c r="C677" s="2" t="s">
        <v>845</v>
      </c>
    </row>
    <row r="678" ht="15.75" customHeight="1">
      <c r="A678" s="2" t="s">
        <v>4</v>
      </c>
      <c r="B678" s="2" t="str">
        <f>IFERROR(__xludf.DUMMYFUNCTION("CONCAT(""&lt;"",GOOGLETRANSLATE(B677,""en"",""ar""))"),"&lt;المماطلة")</f>
        <v>&lt;المماطلة</v>
      </c>
      <c r="C678" s="2" t="str">
        <f>IFERROR(__xludf.DUMMYFUNCTION("CONCAT(""&lt;"",GOOGLETRANSLATE(C677,""en"",""ar""))"),"&lt;الاسطبلات ، المماطلة")</f>
        <v>&lt;الاسطبلات ، المماطلة</v>
      </c>
    </row>
    <row r="679" ht="15.75" customHeight="1">
      <c r="A679" s="1" t="s">
        <v>846</v>
      </c>
      <c r="B679" s="2" t="s">
        <v>847</v>
      </c>
      <c r="C679" s="2"/>
    </row>
    <row r="680" ht="15.75" customHeight="1">
      <c r="B680" s="2" t="s">
        <v>848</v>
      </c>
      <c r="C680" s="2" t="s">
        <v>849</v>
      </c>
    </row>
    <row r="681" ht="15.75" customHeight="1">
      <c r="A681" s="2" t="s">
        <v>4</v>
      </c>
      <c r="B681" s="2" t="str">
        <f>IFERROR(__xludf.DUMMYFUNCTION("CONCAT(""&lt;"",GOOGLETRANSLATE(B680,""en"",""ar""))"),"&lt;أوري")</f>
        <v>&lt;أوري</v>
      </c>
      <c r="C681" s="2" t="str">
        <f>IFERROR(__xludf.DUMMYFUNCTION("CONCAT(""&lt;"",GOOGLETRANSLATE(C680,""en"",""ar""))"),"&lt;(أ) URI ؛ والد بيزاليل. (ب) URI ؛ والد جيبر ، حاكم المقاطعة ؛ وقت سليمان (ج) URI ؛ حارس البوابة قبيلة ليفي")</f>
        <v>&lt;(أ) URI ؛ والد بيزاليل. (ب) URI ؛ والد جيبر ، حاكم المقاطعة ؛ وقت سليمان (ج) URI ؛ حارس البوابة قبيلة ليفي</v>
      </c>
    </row>
    <row r="682" ht="15.75" customHeight="1">
      <c r="A682" s="1" t="s">
        <v>850</v>
      </c>
      <c r="B682" s="2" t="s">
        <v>851</v>
      </c>
      <c r="C682" s="2"/>
    </row>
    <row r="683" ht="15.75" customHeight="1">
      <c r="B683" s="2" t="s">
        <v>852</v>
      </c>
      <c r="C683" s="2" t="s">
        <v>853</v>
      </c>
    </row>
    <row r="684" ht="15.75" customHeight="1">
      <c r="A684" s="2" t="s">
        <v>4</v>
      </c>
      <c r="B684" s="2" t="str">
        <f>IFERROR(__xludf.DUMMYFUNCTION("CONCAT(""&lt;"",GOOGLETRANSLATE(B683,""en"",""ar""))"),"&lt;أوريل")</f>
        <v>&lt;أوريل</v>
      </c>
      <c r="C684" s="2" t="str">
        <f>IFERROR(__xludf.DUMMYFUNCTION("CONCAT(""&lt;"",GOOGLETRANSLATE(C683,""en"",""ar""))"),"&lt;(أ) أوريل ؛ ابن طهث سليل كوهاث ؛ قبيلة ليفي (ب) أوريل ؛ والد ميكيا ، زوجة ريهوبام")</f>
        <v>&lt;(أ) أوريل ؛ ابن طهث سليل كوهاث ؛ قبيلة ليفي (ب) أوريل ؛ والد ميكيا ، زوجة ريهوبام</v>
      </c>
    </row>
    <row r="685" ht="15.75" customHeight="1">
      <c r="A685" s="1" t="s">
        <v>854</v>
      </c>
      <c r="B685" s="2" t="s">
        <v>855</v>
      </c>
      <c r="C685" s="2"/>
    </row>
    <row r="686" ht="15.75" customHeight="1">
      <c r="B686" s="2" t="s">
        <v>856</v>
      </c>
      <c r="C686" s="2" t="s">
        <v>857</v>
      </c>
    </row>
    <row r="687" ht="15.75" customHeight="1">
      <c r="A687" s="2" t="s">
        <v>4</v>
      </c>
      <c r="B687" s="2" t="str">
        <f>IFERROR(__xludf.DUMMYFUNCTION("CONCAT(""&lt;"",GOOGLETRANSLATE(B686,""en"",""ar""))"),"&lt;أوريا")</f>
        <v>&lt;أوريا</v>
      </c>
      <c r="C687" s="2" t="str">
        <f>IFERROR(__xludf.DUMMYFUNCTION("CONCAT(""&lt;"",GOOGLETRANSLATE(C686,""en"",""ar""))"),"&lt;(أ) أوريا ؛ حثى؛ محارب؛ زوج باثشيبا ؛ وقت داود")</f>
        <v>&lt;(أ) أوريا ؛ حثى؛ محارب؛ زوج باثشيبا ؛ وقت داود</v>
      </c>
    </row>
    <row r="688" ht="15.75" customHeight="1">
      <c r="A688" s="1" t="s">
        <v>858</v>
      </c>
      <c r="B688" s="2" t="s">
        <v>859</v>
      </c>
      <c r="C688" s="2"/>
    </row>
    <row r="689" ht="15.75" customHeight="1">
      <c r="B689" s="2" t="s">
        <v>860</v>
      </c>
      <c r="C689" s="2" t="s">
        <v>861</v>
      </c>
    </row>
    <row r="690" ht="15.75" customHeight="1">
      <c r="A690" s="2" t="s">
        <v>4</v>
      </c>
      <c r="B690" s="2" t="str">
        <f>IFERROR(__xludf.DUMMYFUNCTION("CONCAT(""&lt;"",GOOGLETRANSLATE(B689,""en"",""ar""))"),"&lt;يوريا")</f>
        <v>&lt;يوريا</v>
      </c>
      <c r="C690" s="2" t="str">
        <f>IFERROR(__xludf.DUMMYFUNCTION("CONCAT(""&lt;"",GOOGLETRANSLATE(C689,""en"",""ar""))"),"&lt;(ب) أوريا ؛ كاهن؛ وقت الملك أهاز ؛ (ج) أوريا ؛ والد ميرموث ، الكاهن ، بعد المنفى ؛ (د) أوريا ؛ رجل؛ قبيلة ليفي بعد المنفى \ uriah ؛ نجل شيما. نبي كاذب وقت إرميا")</f>
        <v>&lt;(ب) أوريا ؛ كاهن؛ وقت الملك أهاز ؛ (ج) أوريا ؛ والد ميرموث ، الكاهن ، بعد المنفى ؛ (د) أوريا ؛ رجل؛ قبيلة ليفي بعد المنفى \ uriah ؛ نجل شيما. نبي كاذب وقت إرميا</v>
      </c>
    </row>
    <row r="691" ht="15.75" customHeight="1">
      <c r="A691" s="1" t="s">
        <v>862</v>
      </c>
      <c r="B691" s="2" t="s">
        <v>863</v>
      </c>
      <c r="C691" s="2"/>
    </row>
    <row r="692" ht="15.75" customHeight="1">
      <c r="B692" s="2" t="s">
        <v>864</v>
      </c>
      <c r="C692" s="2" t="s">
        <v>864</v>
      </c>
    </row>
    <row r="693" ht="15.75" customHeight="1">
      <c r="A693" s="2" t="s">
        <v>4</v>
      </c>
      <c r="B693" s="2" t="str">
        <f>IFERROR(__xludf.DUMMYFUNCTION("CONCAT(""&lt;"",GOOGLETRANSLATE(B692,""en"",""ar""))"),"&lt;يوريم")</f>
        <v>&lt;يوريم</v>
      </c>
      <c r="C693" s="2" t="str">
        <f>IFERROR(__xludf.DUMMYFUNCTION("CONCAT(""&lt;"",GOOGLETRANSLATE(C692,""en"",""ar""))"),"&lt;يوريم")</f>
        <v>&lt;يوريم</v>
      </c>
    </row>
    <row r="694" ht="15.75" customHeight="1">
      <c r="A694" s="1" t="s">
        <v>865</v>
      </c>
      <c r="B694" s="2" t="s">
        <v>866</v>
      </c>
      <c r="C694" s="2"/>
    </row>
    <row r="695" ht="15.75" customHeight="1">
      <c r="B695" s="2" t="s">
        <v>867</v>
      </c>
      <c r="C695" s="2" t="s">
        <v>868</v>
      </c>
    </row>
    <row r="696" ht="15.75" customHeight="1">
      <c r="A696" s="2" t="s">
        <v>4</v>
      </c>
      <c r="B696" s="2" t="str">
        <f>IFERROR(__xludf.DUMMYFUNCTION("CONCAT(""&lt;"",GOOGLETRANSLATE(B695,""en"",""ar""))"),"&lt;الموافقة")</f>
        <v>&lt;الموافقة</v>
      </c>
      <c r="C696" s="2" t="str">
        <f>IFERROR(__xludf.DUMMYFUNCTION("CONCAT(""&lt;"",GOOGLETRANSLATE(C695,""en"",""ar""))"),"&lt;سال للموافقة")</f>
        <v>&lt;سال للموافقة</v>
      </c>
    </row>
    <row r="697" ht="15.75" customHeight="1">
      <c r="A697" s="1" t="s">
        <v>869</v>
      </c>
      <c r="B697" s="2" t="s">
        <v>870</v>
      </c>
      <c r="C697" s="2"/>
    </row>
    <row r="698" ht="15.75" customHeight="1">
      <c r="B698" s="2" t="s">
        <v>871</v>
      </c>
      <c r="C698" s="2" t="s">
        <v>872</v>
      </c>
    </row>
    <row r="699" ht="15.75" customHeight="1">
      <c r="A699" s="2" t="s">
        <v>4</v>
      </c>
      <c r="B699" s="2" t="str">
        <f>IFERROR(__xludf.DUMMYFUNCTION("CONCAT(""&lt;"",GOOGLETRANSLATE(B698,""en"",""ar""))"),"&lt;لافتة")</f>
        <v>&lt;لافتة</v>
      </c>
      <c r="C699" s="2" t="str">
        <f>IFERROR(__xludf.DUMMYFUNCTION("CONCAT(""&lt;"",GOOGLETRANSLATE(C698,""en"",""ar""))"),"&lt;مارك ، علامة")</f>
        <v>&lt;مارك ، علامة</v>
      </c>
    </row>
    <row r="700" ht="15.75" customHeight="1">
      <c r="A700" s="1" t="s">
        <v>873</v>
      </c>
      <c r="B700" s="2" t="s">
        <v>874</v>
      </c>
      <c r="C700" s="2"/>
    </row>
    <row r="701" ht="15.75" customHeight="1">
      <c r="B701" s="2" t="s">
        <v>436</v>
      </c>
      <c r="C701" s="2" t="s">
        <v>436</v>
      </c>
    </row>
    <row r="702" ht="15.75" customHeight="1">
      <c r="A702" s="2" t="s">
        <v>4</v>
      </c>
      <c r="B702" s="2" t="str">
        <f>IFERROR(__xludf.DUMMYFUNCTION("CONCAT(""&lt;"",GOOGLETRANSLATE(B701,""en"",""ar""))"),"&lt;ثم")</f>
        <v>&lt;ثم</v>
      </c>
      <c r="C702" s="2" t="str">
        <f>IFERROR(__xludf.DUMMYFUNCTION("CONCAT(""&lt;"",GOOGLETRANSLATE(C701,""en"",""ar""))"),"&lt;ثم")</f>
        <v>&lt;ثم</v>
      </c>
    </row>
    <row r="703" ht="15.75" customHeight="1">
      <c r="A703" s="1" t="s">
        <v>875</v>
      </c>
      <c r="B703" s="2" t="s">
        <v>876</v>
      </c>
      <c r="C703" s="2"/>
    </row>
    <row r="704" ht="15.75" customHeight="1">
      <c r="B704" s="2" t="s">
        <v>877</v>
      </c>
      <c r="C704" s="2" t="s">
        <v>878</v>
      </c>
    </row>
    <row r="705" ht="15.75" customHeight="1">
      <c r="A705" s="2" t="s">
        <v>4</v>
      </c>
      <c r="B705" s="2" t="str">
        <f>IFERROR(__xludf.DUMMYFUNCTION("CONCAT(""&lt;"",GOOGLETRANSLATE(B704,""en"",""ar""))"),"&lt;الماضي")</f>
        <v>&lt;الماضي</v>
      </c>
      <c r="C705" s="2" t="str">
        <f>IFERROR(__xludf.DUMMYFUNCTION("CONCAT(""&lt;"",GOOGLETRANSLATE(C704,""en"",""ar""))"),"&lt;وقت في الماضي")</f>
        <v>&lt;وقت في الماضي</v>
      </c>
    </row>
    <row r="706" ht="15.75" customHeight="1">
      <c r="A706" s="1" t="s">
        <v>879</v>
      </c>
      <c r="B706" s="2" t="s">
        <v>880</v>
      </c>
      <c r="C706" s="2"/>
    </row>
    <row r="707" ht="15.75" customHeight="1">
      <c r="B707" s="2" t="s">
        <v>881</v>
      </c>
    </row>
    <row r="708" ht="15.75" customHeight="1">
      <c r="A708" s="2" t="s">
        <v>4</v>
      </c>
      <c r="B708" s="2" t="str">
        <f>IFERROR(__xludf.DUMMYFUNCTION("CONCAT(""&lt;"",GOOGLETRANSLATE(B707,""en"",""ar""))"),"&lt;لتسخين")</f>
        <v>&lt;لتسخين</v>
      </c>
      <c r="C708" s="2"/>
    </row>
    <row r="709" ht="15.75" customHeight="1">
      <c r="A709" s="1" t="s">
        <v>882</v>
      </c>
      <c r="B709" s="2" t="s">
        <v>883</v>
      </c>
      <c r="C709" s="2"/>
    </row>
    <row r="710" ht="15.75" customHeight="1">
      <c r="B710" s="2" t="s">
        <v>884</v>
      </c>
      <c r="C710" s="2" t="s">
        <v>885</v>
      </c>
    </row>
    <row r="711" ht="15.75" customHeight="1">
      <c r="A711" s="2" t="s">
        <v>4</v>
      </c>
      <c r="B711" s="2" t="str">
        <f>IFERROR(__xludf.DUMMYFUNCTION("CONCAT(""&lt;"",GOOGLETRANSLATE(B710,""en"",""ar""))"),"&lt;إزباي")</f>
        <v>&lt;إزباي</v>
      </c>
      <c r="C711" s="2" t="str">
        <f>IFERROR(__xludf.DUMMYFUNCTION("CONCAT(""&lt;"",GOOGLETRANSLATE(C710,""en"",""ar""))"),"&lt;إزباي ؛ والد ناراي ، محارب ، وقت الملك داود")</f>
        <v>&lt;إزباي ؛ والد ناراي ، محارب ، وقت الملك داود</v>
      </c>
    </row>
    <row r="712" ht="15.75" customHeight="1">
      <c r="A712" s="1" t="s">
        <v>886</v>
      </c>
      <c r="B712" s="2" t="s">
        <v>887</v>
      </c>
      <c r="C712" s="2"/>
    </row>
    <row r="713" ht="15.75" customHeight="1">
      <c r="B713" s="2" t="s">
        <v>888</v>
      </c>
    </row>
    <row r="714" ht="15.75" customHeight="1">
      <c r="A714" s="2" t="s">
        <v>4</v>
      </c>
      <c r="B714" s="2" t="str">
        <f>IFERROR(__xludf.DUMMYFUNCTION("CONCAT(""&lt;"",GOOGLETRANSLATE(B713,""en"",""ar""))"),"&lt;ذهب")</f>
        <v>&lt;ذهب</v>
      </c>
      <c r="C714" s="2"/>
    </row>
    <row r="715" ht="15.75" customHeight="1">
      <c r="A715" s="1" t="s">
        <v>889</v>
      </c>
      <c r="B715" s="2" t="s">
        <v>890</v>
      </c>
      <c r="C715" s="2"/>
    </row>
    <row r="716" ht="15.75" customHeight="1">
      <c r="B716" s="2" t="s">
        <v>891</v>
      </c>
      <c r="C716" s="2" t="s">
        <v>892</v>
      </c>
    </row>
    <row r="717" ht="15.75" customHeight="1">
      <c r="A717" s="2" t="s">
        <v>4</v>
      </c>
      <c r="B717" s="2" t="str">
        <f>IFERROR(__xludf.DUMMYFUNCTION("CONCAT(""&lt;"",GOOGLETRANSLATE(B716,""en"",""ar""))"),"&lt;Hyssop")</f>
        <v>&lt;Hyssop</v>
      </c>
      <c r="C717" s="2" t="str">
        <f>IFERROR(__xludf.DUMMYFUNCTION("CONCAT(""&lt;"",GOOGLETRANSLATE(C716,""en"",""ar""))"),"&lt;Hyssop (Origanum Maru) ؛ نبات مع قاعدة تشبه الشجيرة والسيقان التي هي منتصبة ، قاسية وقوية. عندما ينمو من الأرض يصل إلى ارتفاع أقل من متر واحد. قد يخرج أيضًا من الشقوق في الجدران والمنحدرات والصخور. أوراقها وفروعها مشعرة ، وأزهارها بيضاء. النبات عطري ، وت"&amp;"ستخدم الأوراق المجففة كتوابل في إسرائيل ومصر ، حيث تنمو. إنه ينتمي إلى عائلة النعناع. كانت الأوراق والفروع الصغيرة ، عندما يتم جمعها في باقات ، مناسبة لأغراض الرش ، لأن السطح المشعر سيحمل السائل. لهذا السبب تم استخدام النبات في تطهير طقوس اليهود.")</f>
        <v>&lt;Hyssop (Origanum Maru) ؛ نبات مع قاعدة تشبه الشجيرة والسيقان التي هي منتصبة ، قاسية وقوية. عندما ينمو من الأرض يصل إلى ارتفاع أقل من متر واحد. قد يخرج أيضًا من الشقوق في الجدران والمنحدرات والصخور. أوراقها وفروعها مشعرة ، وأزهارها بيضاء. النبات عطري ، وتستخدم الأوراق المجففة كتوابل في إسرائيل ومصر ، حيث تنمو. إنه ينتمي إلى عائلة النعناع. كانت الأوراق والفروع الصغيرة ، عندما يتم جمعها في باقات ، مناسبة لأغراض الرش ، لأن السطح المشعر سيحمل السائل. لهذا السبب تم استخدام النبات في تطهير طقوس اليهود.</v>
      </c>
    </row>
    <row r="718" ht="15.75" customHeight="1">
      <c r="A718" s="1" t="s">
        <v>893</v>
      </c>
      <c r="B718" s="2" t="s">
        <v>894</v>
      </c>
      <c r="C718" s="2"/>
    </row>
    <row r="719" ht="15.75" customHeight="1">
      <c r="B719" s="2" t="s">
        <v>268</v>
      </c>
      <c r="C719" s="2" t="s">
        <v>895</v>
      </c>
    </row>
    <row r="720" ht="15.75" customHeight="1">
      <c r="A720" s="2" t="s">
        <v>4</v>
      </c>
      <c r="B720" s="2" t="str">
        <f>IFERROR(__xludf.DUMMYFUNCTION("CONCAT(""&lt;"",GOOGLETRANSLATE(B719,""en"",""ar""))"),"&lt;حزام")</f>
        <v>&lt;حزام</v>
      </c>
      <c r="C720" s="2" t="str">
        <f>IFERROR(__xludf.DUMMYFUNCTION("CONCAT(""&lt;"",GOOGLETRANSLATE(C719,""en"",""ar""))"),"&lt;loincloth")</f>
        <v>&lt;loincloth</v>
      </c>
    </row>
    <row r="721" ht="15.75" customHeight="1">
      <c r="A721" s="1" t="s">
        <v>896</v>
      </c>
      <c r="B721" s="2" t="s">
        <v>897</v>
      </c>
      <c r="C721" s="2"/>
    </row>
    <row r="722" ht="15.75" customHeight="1">
      <c r="B722" s="2" t="s">
        <v>436</v>
      </c>
      <c r="C722" s="2" t="s">
        <v>436</v>
      </c>
    </row>
    <row r="723" ht="15.75" customHeight="1">
      <c r="A723" s="2" t="s">
        <v>4</v>
      </c>
      <c r="B723" s="2" t="str">
        <f>IFERROR(__xludf.DUMMYFUNCTION("CONCAT(""&lt;"",GOOGLETRANSLATE(B722,""en"",""ar""))"),"&lt;ثم")</f>
        <v>&lt;ثم</v>
      </c>
      <c r="C723" s="2" t="str">
        <f>IFERROR(__xludf.DUMMYFUNCTION("CONCAT(""&lt;"",GOOGLETRANSLATE(C722,""en"",""ar""))"),"&lt;ثم")</f>
        <v>&lt;ثم</v>
      </c>
    </row>
    <row r="724" ht="15.75" customHeight="1">
      <c r="A724" s="1" t="s">
        <v>898</v>
      </c>
      <c r="B724" s="2" t="s">
        <v>899</v>
      </c>
      <c r="C724" s="2"/>
    </row>
    <row r="725" ht="15.75" customHeight="1">
      <c r="B725" s="2" t="s">
        <v>900</v>
      </c>
      <c r="C725" s="2" t="s">
        <v>901</v>
      </c>
    </row>
    <row r="726" ht="15.75" customHeight="1">
      <c r="A726" s="2" t="s">
        <v>4</v>
      </c>
      <c r="B726" s="2" t="str">
        <f>IFERROR(__xludf.DUMMYFUNCTION("CONCAT(""&lt;"",GOOGLETRANSLATE(B725,""en"",""ar""))"),"&lt;النصب التذكاري")</f>
        <v>&lt;النصب التذكاري</v>
      </c>
      <c r="C726" s="2" t="str">
        <f>IFERROR(__xludf.DUMMYFUNCTION("CONCAT(""&lt;"",GOOGLETRANSLATE(C725,""en"",""ar""))"),"&lt;جزء تذكاري أو رمز. جزء من عرض الحبوب المحترق على المذبح كتذكير بأنه في الواقع كله ينتمي إلى الرب")</f>
        <v>&lt;جزء تذكاري أو رمز. جزء من عرض الحبوب المحترق على المذبح كتذكير بأنه في الواقع كله ينتمي إلى الرب</v>
      </c>
    </row>
    <row r="727" ht="15.75" customHeight="1">
      <c r="A727" s="1" t="s">
        <v>902</v>
      </c>
      <c r="B727" s="2" t="s">
        <v>903</v>
      </c>
      <c r="C727" s="2"/>
    </row>
    <row r="728" ht="15.75" customHeight="1">
      <c r="B728" s="2" t="s">
        <v>904</v>
      </c>
      <c r="C728" s="2" t="s">
        <v>905</v>
      </c>
    </row>
    <row r="729" ht="15.75" customHeight="1">
      <c r="A729" s="2" t="s">
        <v>4</v>
      </c>
      <c r="B729" s="2" t="str">
        <f>IFERROR(__xludf.DUMMYFUNCTION("CONCAT(""&lt;"",GOOGLETRANSLATE(B728,""en"",""ar""))"),"&lt;ذهب")</f>
        <v>&lt;ذهب</v>
      </c>
      <c r="C729" s="2" t="str">
        <f>IFERROR(__xludf.DUMMYFUNCTION("CONCAT(""&lt;"",GOOGLETRANSLATE(C728,""en"",""ar""))"),"&lt;QAL للذهاب بعيدا")</f>
        <v>&lt;QAL للذهاب بعيدا</v>
      </c>
    </row>
    <row r="730" ht="15.75" customHeight="1">
      <c r="A730" s="1" t="s">
        <v>906</v>
      </c>
      <c r="B730" s="2" t="s">
        <v>907</v>
      </c>
      <c r="C730" s="2"/>
    </row>
    <row r="731" ht="15.75" customHeight="1">
      <c r="B731" s="2" t="s">
        <v>908</v>
      </c>
      <c r="C731" s="2" t="s">
        <v>905</v>
      </c>
    </row>
    <row r="732" ht="15.75" customHeight="1">
      <c r="A732" s="2" t="s">
        <v>4</v>
      </c>
      <c r="B732" s="2" t="str">
        <f>IFERROR(__xludf.DUMMYFUNCTION("CONCAT(""&lt;"",GOOGLETRANSLATE(B731,""en"",""ar""))"),"&lt;توجو")</f>
        <v>&lt;توجو</v>
      </c>
      <c r="C732" s="2" t="str">
        <f>IFERROR(__xludf.DUMMYFUNCTION("CONCAT(""&lt;"",GOOGLETRANSLATE(C731,""en"",""ar""))"),"&lt;QAL للذهاب بعيدا")</f>
        <v>&lt;QAL للذهاب بعيدا</v>
      </c>
    </row>
    <row r="733" ht="15.75" customHeight="1">
      <c r="A733" s="1" t="s">
        <v>909</v>
      </c>
      <c r="B733" s="2" t="s">
        <v>910</v>
      </c>
      <c r="C733" s="2"/>
    </row>
    <row r="734" ht="15.75" customHeight="1">
      <c r="B734" s="2" t="s">
        <v>911</v>
      </c>
      <c r="C734" s="2" t="s">
        <v>911</v>
      </c>
    </row>
    <row r="735" ht="15.75" customHeight="1">
      <c r="A735" s="2" t="s">
        <v>4</v>
      </c>
      <c r="B735" s="2" t="str">
        <f>IFERROR(__xludf.DUMMYFUNCTION("CONCAT(""&lt;"",GOOGLETRANSLATE(B734,""en"",""ar""))"),"&lt;إيزيل")</f>
        <v>&lt;إيزيل</v>
      </c>
      <c r="C735" s="2" t="str">
        <f>IFERROR(__xludf.DUMMYFUNCTION("CONCAT(""&lt;"",GOOGLETRANSLATE(C734,""en"",""ar""))"),"&lt;إيزيل")</f>
        <v>&lt;إيزيل</v>
      </c>
    </row>
    <row r="736" ht="15.75" customHeight="1">
      <c r="A736" s="1" t="s">
        <v>912</v>
      </c>
      <c r="B736" s="2" t="s">
        <v>913</v>
      </c>
      <c r="C736" s="2"/>
    </row>
    <row r="737" ht="15.75" customHeight="1">
      <c r="B737" s="2" t="s">
        <v>914</v>
      </c>
      <c r="C737" s="2" t="s">
        <v>915</v>
      </c>
    </row>
    <row r="738" ht="15.75" customHeight="1">
      <c r="A738" s="2" t="s">
        <v>4</v>
      </c>
      <c r="B738" s="2" t="str">
        <f>IFERROR(__xludf.DUMMYFUNCTION("CONCAT(""&lt;"",GOOGLETRANSLATE(B737,""en"",""ar""))"),"&lt;للاستماع")</f>
        <v>&lt;للاستماع</v>
      </c>
      <c r="C738" s="2" t="str">
        <f>IFERROR(__xludf.DUMMYFUNCTION("CONCAT(""&lt;"",GOOGLETRANSLATE(C737,""en"",""ar""))"),"&lt;(ب) HIF. للاستماع")</f>
        <v>&lt;(ب) HIF. للاستماع</v>
      </c>
    </row>
    <row r="739" ht="15.75" customHeight="1">
      <c r="A739" s="1" t="s">
        <v>916</v>
      </c>
      <c r="B739" s="2" t="s">
        <v>917</v>
      </c>
      <c r="C739" s="2"/>
    </row>
    <row r="740" ht="15.75" customHeight="1">
      <c r="B740" s="2" t="s">
        <v>918</v>
      </c>
      <c r="C740" s="2" t="s">
        <v>919</v>
      </c>
    </row>
    <row r="741" ht="15.75" customHeight="1">
      <c r="A741" s="2" t="s">
        <v>4</v>
      </c>
      <c r="B741" s="2" t="str">
        <f>IFERROR(__xludf.DUMMYFUNCTION("CONCAT(""&lt;"",GOOGLETRANSLATE(B740,""en"",""ar""))"),"&lt;للتفكير")</f>
        <v>&lt;للتفكير</v>
      </c>
      <c r="C741" s="2" t="str">
        <f>IFERROR(__xludf.DUMMYFUNCTION("CONCAT(""&lt;"",GOOGLETRANSLATE(C740,""en"",""ar""))"),"&lt;(أ) PI. للتفكير؟")</f>
        <v>&lt;(أ) PI. للتفكير؟</v>
      </c>
    </row>
    <row r="742" ht="15.75" customHeight="1">
      <c r="A742" s="1" t="s">
        <v>920</v>
      </c>
      <c r="B742" s="2" t="s">
        <v>921</v>
      </c>
      <c r="C742" s="2"/>
    </row>
    <row r="743" ht="15.75" customHeight="1">
      <c r="B743" s="2" t="s">
        <v>922</v>
      </c>
      <c r="C743" s="2" t="s">
        <v>923</v>
      </c>
    </row>
    <row r="744" ht="15.75" customHeight="1">
      <c r="A744" s="2" t="s">
        <v>4</v>
      </c>
      <c r="B744" s="2" t="str">
        <f>IFERROR(__xludf.DUMMYFUNCTION("CONCAT(""&lt;"",GOOGLETRANSLATE(B743,""en"",""ar""))"),"&lt;سلاح")</f>
        <v>&lt;سلاح</v>
      </c>
      <c r="C744" s="2" t="str">
        <f>IFERROR(__xludf.DUMMYFUNCTION("CONCAT(""&lt;"",GOOGLETRANSLATE(C743,""en"",""ar""))"),"&lt;أداة")</f>
        <v>&lt;أداة</v>
      </c>
    </row>
    <row r="745" ht="15.75" customHeight="1">
      <c r="A745" s="1" t="s">
        <v>924</v>
      </c>
      <c r="B745" s="2" t="s">
        <v>925</v>
      </c>
      <c r="C745" s="2"/>
    </row>
    <row r="746" ht="15.75" customHeight="1">
      <c r="B746" s="2" t="s">
        <v>926</v>
      </c>
      <c r="C746" s="2" t="s">
        <v>926</v>
      </c>
    </row>
    <row r="747" ht="15.75" customHeight="1">
      <c r="A747" s="2" t="s">
        <v>4</v>
      </c>
      <c r="B747" s="2" t="str">
        <f>IFERROR(__xludf.DUMMYFUNCTION("CONCAT(""&lt;"",GOOGLETRANSLATE(B746,""en"",""ar""))"),"&lt;أذن")</f>
        <v>&lt;أذن</v>
      </c>
      <c r="C747" s="2" t="str">
        <f>IFERROR(__xludf.DUMMYFUNCTION("CONCAT(""&lt;"",GOOGLETRANSLATE(C746,""en"",""ar""))"),"&lt;أذن")</f>
        <v>&lt;أذن</v>
      </c>
    </row>
    <row r="748" ht="15.75" customHeight="1">
      <c r="A748" s="1" t="s">
        <v>927</v>
      </c>
      <c r="B748" s="2" t="s">
        <v>928</v>
      </c>
      <c r="C748" s="2"/>
    </row>
    <row r="749" ht="15.75" customHeight="1">
      <c r="B749" s="2" t="s">
        <v>929</v>
      </c>
      <c r="C749" s="2" t="s">
        <v>930</v>
      </c>
    </row>
    <row r="750" ht="15.75" customHeight="1">
      <c r="A750" s="2" t="s">
        <v>4</v>
      </c>
      <c r="B750" s="2" t="str">
        <f>IFERROR(__xludf.DUMMYFUNCTION("CONCAT(""&lt;"",GOOGLETRANSLATE(B749,""en"",""ar""))"),"&lt;uzzen-sheerah")</f>
        <v>&lt;uzzen-sheerah</v>
      </c>
      <c r="C750" s="2" t="str">
        <f>IFERROR(__xludf.DUMMYFUNCTION("CONCAT(""&lt;"",GOOGLETRANSLATE(C749,""en"",""ar""))"),"&lt;uzzen-sheerah بلدة؛ بنيت من قبل شيرا ، ابنة إفرايم")</f>
        <v>&lt;uzzen-sheerah بلدة؛ بنيت من قبل شيرا ، ابنة إفرايم</v>
      </c>
    </row>
    <row r="751" ht="15.75" customHeight="1">
      <c r="A751" s="1" t="s">
        <v>931</v>
      </c>
      <c r="B751" s="2" t="s">
        <v>932</v>
      </c>
      <c r="C751" s="2"/>
    </row>
    <row r="752" ht="15.75" customHeight="1">
      <c r="B752" s="2" t="s">
        <v>933</v>
      </c>
      <c r="C752" s="2" t="s">
        <v>934</v>
      </c>
    </row>
    <row r="753" ht="15.75" customHeight="1">
      <c r="A753" s="2" t="s">
        <v>4</v>
      </c>
      <c r="B753" s="2" t="str">
        <f>IFERROR(__xludf.DUMMYFUNCTION("CONCAT(""&lt;"",GOOGLETRANSLATE(B752,""en"",""ar""))"),"&lt;أزنوث تابور")</f>
        <v>&lt;أزنوث تابور</v>
      </c>
      <c r="C753" s="2" t="str">
        <f>IFERROR(__xludf.DUMMYFUNCTION("CONCAT(""&lt;"",GOOGLETRANSLATE(C752,""en"",""ar""))"),"&lt;آزنوث تابور. موقع؛ أراضي النفتالي")</f>
        <v>&lt;آزنوث تابور. موقع؛ أراضي النفتالي</v>
      </c>
    </row>
    <row r="754" ht="15.75" customHeight="1">
      <c r="A754" s="1" t="s">
        <v>935</v>
      </c>
      <c r="B754" s="2" t="s">
        <v>936</v>
      </c>
      <c r="C754" s="2"/>
    </row>
    <row r="755" ht="15.75" customHeight="1">
      <c r="B755" s="2" t="s">
        <v>937</v>
      </c>
      <c r="C755" s="2" t="s">
        <v>938</v>
      </c>
    </row>
    <row r="756" ht="15.75" customHeight="1">
      <c r="A756" s="2" t="s">
        <v>4</v>
      </c>
      <c r="B756" s="2" t="str">
        <f>IFERROR(__xludf.DUMMYFUNCTION("CONCAT(""&lt;"",GOOGLETRANSLATE(B755,""en"",""ar""))"),"&lt;أوزني")</f>
        <v>&lt;أوزني</v>
      </c>
      <c r="C756" s="2" t="str">
        <f>IFERROR(__xludf.DUMMYFUNCTION("CONCAT(""&lt;"",GOOGLETRANSLATE(C755,""en"",""ar""))"),"&lt;(أ) أوزني ؛ ابن جاد")</f>
        <v>&lt;(أ) أوزني ؛ ابن جاد</v>
      </c>
    </row>
    <row r="757" ht="15.75" customHeight="1">
      <c r="A757" s="1" t="s">
        <v>939</v>
      </c>
      <c r="B757" s="2" t="s">
        <v>940</v>
      </c>
      <c r="C757" s="2"/>
    </row>
    <row r="758" ht="15.75" customHeight="1">
      <c r="B758" s="2" t="s">
        <v>941</v>
      </c>
      <c r="C758" s="2" t="s">
        <v>942</v>
      </c>
    </row>
    <row r="759" ht="15.75" customHeight="1">
      <c r="A759" s="2" t="s">
        <v>4</v>
      </c>
      <c r="B759" s="2" t="str">
        <f>IFERROR(__xludf.DUMMYFUNCTION("CONCAT(""&lt;"",GOOGLETRANSLATE(B758,""en"",""ar""))"),"&lt;الأوزنيت")</f>
        <v>&lt;الأوزنيت</v>
      </c>
      <c r="C759" s="2" t="str">
        <f>IFERROR(__xludf.DUMMYFUNCTION("CONCAT(""&lt;"",GOOGLETRANSLATE(C758,""en"",""ar""))"),"&lt;الأوزنيت سليل أوزني ؛ قبيلة جاد")</f>
        <v>&lt;الأوزنيت سليل أوزني ؛ قبيلة جاد</v>
      </c>
    </row>
    <row r="760" ht="15.75" customHeight="1">
      <c r="A760" s="1" t="s">
        <v>943</v>
      </c>
      <c r="B760" s="2" t="s">
        <v>944</v>
      </c>
      <c r="C760" s="2"/>
    </row>
    <row r="761" ht="15.75" customHeight="1">
      <c r="B761" s="2" t="s">
        <v>945</v>
      </c>
      <c r="C761" s="2" t="s">
        <v>946</v>
      </c>
    </row>
    <row r="762" ht="15.75" customHeight="1">
      <c r="A762" s="2" t="s">
        <v>4</v>
      </c>
      <c r="B762" s="2" t="str">
        <f>IFERROR(__xludf.DUMMYFUNCTION("CONCAT(""&lt;"",GOOGLETRANSLATE(B761,""en"",""ar""))"),"&lt;أزانيا")</f>
        <v>&lt;أزانيا</v>
      </c>
      <c r="C762" s="2" t="str">
        <f>IFERROR(__xludf.DUMMYFUNCTION("CONCAT(""&lt;"",GOOGLETRANSLATE(C761,""en"",""ar""))"),"&lt;أزانيا والد جيشوا ، ليفيت ، بعد المنفى")</f>
        <v>&lt;أزانيا والد جيشوا ، ليفيت ، بعد المنفى</v>
      </c>
    </row>
    <row r="763" ht="15.75" customHeight="1">
      <c r="A763" s="1" t="s">
        <v>947</v>
      </c>
      <c r="B763" s="2" t="s">
        <v>948</v>
      </c>
      <c r="C763" s="2"/>
    </row>
    <row r="764" ht="15.75" customHeight="1">
      <c r="B764" s="2" t="s">
        <v>949</v>
      </c>
      <c r="C764" s="2" t="s">
        <v>950</v>
      </c>
    </row>
    <row r="765" ht="15.75" customHeight="1">
      <c r="A765" s="2" t="s">
        <v>4</v>
      </c>
      <c r="B765" s="2" t="str">
        <f>IFERROR(__xludf.DUMMYFUNCTION("CONCAT(""&lt;"",GOOGLETRANSLATE(B764,""en"",""ar""))"),"&lt;السلاسل")</f>
        <v>&lt;السلاسل</v>
      </c>
      <c r="C765" s="2" t="str">
        <f>IFERROR(__xludf.DUMMYFUNCTION("CONCAT(""&lt;"",GOOGLETRANSLATE(C764,""en"",""ar""))"),"&lt;فترات")</f>
        <v>&lt;فترات</v>
      </c>
    </row>
    <row r="766" ht="15.75" customHeight="1">
      <c r="A766" s="1" t="s">
        <v>951</v>
      </c>
      <c r="B766" s="2" t="s">
        <v>952</v>
      </c>
      <c r="C766" s="2"/>
    </row>
    <row r="767" ht="15.75" customHeight="1">
      <c r="B767" s="2" t="s">
        <v>953</v>
      </c>
      <c r="C767" s="2" t="s">
        <v>954</v>
      </c>
    </row>
    <row r="768" ht="15.75" customHeight="1">
      <c r="A768" s="2" t="s">
        <v>4</v>
      </c>
      <c r="B768" s="2" t="str">
        <f>IFERROR(__xludf.DUMMYFUNCTION("CONCAT(""&lt;"",GOOGLETRANSLATE(B767,""en"",""ar""))"),"&lt;إلى gird")</f>
        <v>&lt;إلى gird</v>
      </c>
      <c r="C768" s="2" t="str">
        <f>IFERROR(__xludf.DUMMYFUNCTION("CONCAT(""&lt;"",GOOGLETRANSLATE(C767,""en"",""ar""))"),"&lt;(أ) QAL إلى gird حول ؛ (ب) نيف. أن تكون متشائمة (ج) PI. إلى gird (د) HITP. لتزويد نفسه")</f>
        <v>&lt;(أ) QAL إلى gird حول ؛ (ب) نيف. أن تكون متشائمة (ج) PI. إلى gird (د) HITP. لتزويد نفسه</v>
      </c>
    </row>
    <row r="769" ht="15.75" customHeight="1">
      <c r="A769" s="1" t="s">
        <v>955</v>
      </c>
      <c r="B769" s="2" t="s">
        <v>956</v>
      </c>
      <c r="C769" s="2"/>
    </row>
    <row r="770" ht="15.75" customHeight="1">
      <c r="B770" s="2" t="s">
        <v>957</v>
      </c>
      <c r="C770" s="2" t="s">
        <v>957</v>
      </c>
    </row>
    <row r="771" ht="15.75" customHeight="1">
      <c r="A771" s="2" t="s">
        <v>4</v>
      </c>
      <c r="B771" s="2" t="str">
        <f>IFERROR(__xludf.DUMMYFUNCTION("CONCAT(""&lt;"",GOOGLETRANSLATE(B770,""en"",""ar""))"),"&lt;ذراع")</f>
        <v>&lt;ذراع</v>
      </c>
      <c r="C771" s="2" t="str">
        <f>IFERROR(__xludf.DUMMYFUNCTION("CONCAT(""&lt;"",GOOGLETRANSLATE(C770,""en"",""ar""))"),"&lt;ذراع")</f>
        <v>&lt;ذراع</v>
      </c>
    </row>
    <row r="772" ht="15.75" customHeight="1">
      <c r="A772" s="1" t="s">
        <v>958</v>
      </c>
      <c r="B772" s="2" t="s">
        <v>959</v>
      </c>
      <c r="C772" s="2"/>
    </row>
    <row r="773" ht="15.75" customHeight="1">
      <c r="B773" s="2" t="s">
        <v>960</v>
      </c>
      <c r="C773" s="2" t="s">
        <v>961</v>
      </c>
    </row>
    <row r="774" ht="15.75" customHeight="1">
      <c r="A774" s="2" t="s">
        <v>4</v>
      </c>
      <c r="B774" s="2" t="str">
        <f>IFERROR(__xludf.DUMMYFUNCTION("CONCAT(""&lt;"",GOOGLETRANSLATE(B773,""en"",""ar""))"),"&lt;وُلِدّ")</f>
        <v>&lt;وُلِدّ</v>
      </c>
      <c r="C774" s="2" t="str">
        <f>IFERROR(__xludf.DUMMYFUNCTION("CONCAT(""&lt;"",GOOGLETRANSLATE(C773,""en"",""ar""))"),"&lt;محلي")</f>
        <v>&lt;محلي</v>
      </c>
    </row>
    <row r="775" ht="15.75" customHeight="1">
      <c r="A775" s="1" t="s">
        <v>962</v>
      </c>
      <c r="B775" s="2" t="s">
        <v>963</v>
      </c>
      <c r="C775" s="2"/>
    </row>
    <row r="776" ht="15.75" customHeight="1">
      <c r="B776" s="2" t="s">
        <v>964</v>
      </c>
      <c r="C776" s="2" t="s">
        <v>965</v>
      </c>
    </row>
    <row r="777" ht="15.75" customHeight="1">
      <c r="A777" s="2" t="s">
        <v>4</v>
      </c>
      <c r="B777" s="2" t="str">
        <f>IFERROR(__xludf.DUMMYFUNCTION("CONCAT(""&lt;"",GOOGLETRANSLATE(B776,""en"",""ar""))"),"&lt;إزراهيت")</f>
        <v>&lt;إزراهيت</v>
      </c>
      <c r="C777" s="2" t="str">
        <f>IFERROR(__xludf.DUMMYFUNCTION("CONCAT(""&lt;"",GOOGLETRANSLATE(C776,""en"",""ar""))"),"&lt;عزراهيت نسل زيرا. قبيلة يهوذا")</f>
        <v>&lt;عزراهيت نسل زيرا. قبيلة يهوذا</v>
      </c>
    </row>
    <row r="778" ht="15.75" customHeight="1">
      <c r="A778" s="1" t="s">
        <v>966</v>
      </c>
      <c r="B778" s="2" t="s">
        <v>967</v>
      </c>
      <c r="C778" s="2"/>
    </row>
    <row r="779" ht="15.75" customHeight="1">
      <c r="B779" s="2" t="s">
        <v>968</v>
      </c>
      <c r="C779" s="2" t="s">
        <v>969</v>
      </c>
    </row>
    <row r="780" ht="15.75" customHeight="1">
      <c r="A780" s="2" t="s">
        <v>4</v>
      </c>
      <c r="B780" s="2" t="str">
        <f>IFERROR(__xludf.DUMMYFUNCTION("CONCAT(""&lt;"",GOOGLETRANSLATE(B779,""en"",""ar""))"),"&lt;أخ")</f>
        <v>&lt;أخ</v>
      </c>
      <c r="C780" s="2" t="str">
        <f>IFERROR(__xludf.DUMMYFUNCTION("CONCAT(""&lt;"",GOOGLETRANSLATE(C779,""en"",""ar""))"),"&lt;(أخ")</f>
        <v>&lt;(أخ</v>
      </c>
    </row>
    <row r="781" ht="15.75" customHeight="1">
      <c r="A781" s="1" t="s">
        <v>970</v>
      </c>
      <c r="B781" s="2" t="s">
        <v>971</v>
      </c>
      <c r="C781" s="2"/>
    </row>
    <row r="782" ht="15.75" customHeight="1">
      <c r="B782" s="2" t="s">
        <v>968</v>
      </c>
      <c r="C782" s="2" t="s">
        <v>969</v>
      </c>
    </row>
    <row r="783" ht="15.75" customHeight="1">
      <c r="A783" s="2" t="s">
        <v>4</v>
      </c>
      <c r="B783" s="2" t="str">
        <f>IFERROR(__xludf.DUMMYFUNCTION("CONCAT(""&lt;"",GOOGLETRANSLATE(B782,""en"",""ar""))"),"&lt;أخ")</f>
        <v>&lt;أخ</v>
      </c>
      <c r="C783" s="2" t="str">
        <f>IFERROR(__xludf.DUMMYFUNCTION("CONCAT(""&lt;"",GOOGLETRANSLATE(C782,""en"",""ar""))"),"&lt;(أخ")</f>
        <v>&lt;(أخ</v>
      </c>
    </row>
    <row r="784" ht="15.75" customHeight="1">
      <c r="A784" s="1" t="s">
        <v>972</v>
      </c>
      <c r="B784" s="2" t="s">
        <v>973</v>
      </c>
      <c r="C784" s="2"/>
    </row>
    <row r="785" ht="15.75" customHeight="1">
      <c r="B785" s="2" t="s">
        <v>974</v>
      </c>
      <c r="C785" s="2" t="s">
        <v>975</v>
      </c>
    </row>
    <row r="786" ht="15.75" customHeight="1">
      <c r="A786" s="2" t="s">
        <v>4</v>
      </c>
      <c r="B786" s="2" t="str">
        <f>IFERROR(__xludf.DUMMYFUNCTION("CONCAT(""&lt;"",GOOGLETRANSLATE(B785,""en"",""ar""))"),"&lt;آه!")</f>
        <v>&lt;آه!</v>
      </c>
      <c r="C786" s="2" t="str">
        <f>IFERROR(__xludf.DUMMYFUNCTION("CONCAT(""&lt;"",GOOGLETRANSLATE(C785,""en"",""ar""))"),"&lt;(ب) التدخل للأسف!")</f>
        <v>&lt;(ب) التدخل للأسف!</v>
      </c>
    </row>
    <row r="787" ht="15.75" customHeight="1">
      <c r="A787" s="1" t="s">
        <v>976</v>
      </c>
      <c r="B787" s="2" t="s">
        <v>977</v>
      </c>
      <c r="C787" s="2"/>
    </row>
    <row r="788" ht="15.75" customHeight="1">
      <c r="B788" s="2" t="s">
        <v>978</v>
      </c>
      <c r="C788" s="2" t="s">
        <v>979</v>
      </c>
    </row>
    <row r="789" ht="15.75" customHeight="1">
      <c r="A789" s="2" t="s">
        <v>4</v>
      </c>
      <c r="B789" s="2" t="str">
        <f>IFERROR(__xludf.DUMMYFUNCTION("CONCAT(""&lt;"",GOOGLETRANSLATE(B788,""en"",""ar""))"),"&lt;موقد")</f>
        <v>&lt;موقد</v>
      </c>
      <c r="C789" s="2" t="str">
        <f>IFERROR(__xludf.DUMMYFUNCTION("CONCAT(""&lt;"",GOOGLETRANSLATE(C788,""en"",""ar""))"),"&lt;حريق بوت ، برازييه")</f>
        <v>&lt;حريق بوت ، برازييه</v>
      </c>
    </row>
    <row r="790" ht="15.75" customHeight="1">
      <c r="A790" s="1" t="s">
        <v>980</v>
      </c>
      <c r="B790" s="2" t="s">
        <v>981</v>
      </c>
      <c r="C790" s="2"/>
    </row>
    <row r="791" ht="15.75" customHeight="1">
      <c r="B791" s="2" t="s">
        <v>982</v>
      </c>
      <c r="C791" s="2" t="s">
        <v>983</v>
      </c>
    </row>
    <row r="792" ht="15.75" customHeight="1">
      <c r="A792" s="2" t="s">
        <v>4</v>
      </c>
      <c r="B792" s="2" t="str">
        <f>IFERROR(__xludf.DUMMYFUNCTION("CONCAT(""&lt;"",GOOGLETRANSLATE(B791,""en"",""ar""))"),"&lt;عويل الحيوان")</f>
        <v>&lt;عويل الحيوان</v>
      </c>
      <c r="C792" s="2" t="str">
        <f>IFERROR(__xludf.DUMMYFUNCTION("CONCAT(""&lt;"",GOOGLETRANSLATE(C791,""en"",""ar""))"),"&lt;البومة النسر")</f>
        <v>&lt;البومة النسر</v>
      </c>
    </row>
    <row r="793" ht="15.75" customHeight="1">
      <c r="A793" s="1" t="s">
        <v>984</v>
      </c>
      <c r="B793" s="2" t="s">
        <v>985</v>
      </c>
      <c r="C793" s="2"/>
    </row>
    <row r="794" ht="15.75" customHeight="1">
      <c r="B794" s="2" t="s">
        <v>986</v>
      </c>
      <c r="C794" s="2" t="s">
        <v>987</v>
      </c>
    </row>
    <row r="795" ht="15.75" customHeight="1">
      <c r="A795" s="2" t="s">
        <v>4</v>
      </c>
      <c r="B795" s="2" t="str">
        <f>IFERROR(__xludf.DUMMYFUNCTION("CONCAT(""&lt;"",GOOGLETRANSLATE(B794,""en"",""ar""))"),"&lt;أهاب")</f>
        <v>&lt;أهاب</v>
      </c>
      <c r="C795" s="2" t="str">
        <f>IFERROR(__xludf.DUMMYFUNCTION("CONCAT(""&lt;"",GOOGLETRANSLATE(C794,""en"",""ar""))"),"&lt;(أ) آب ؛ نجل أمري. ملك إسرائيل (874/73-853) ؛ (b) אֶחָב   Ahab; نبي كاذب وقت إرميا")</f>
        <v>&lt;(أ) آب ؛ نجل أمري. ملك إسرائيل (874/73-853) ؛ (b) אֶחָב   Ahab; نبي كاذب وقت إرميا</v>
      </c>
    </row>
    <row r="796" ht="15.75" customHeight="1">
      <c r="A796" s="1" t="s">
        <v>988</v>
      </c>
      <c r="B796" s="2" t="s">
        <v>989</v>
      </c>
      <c r="C796" s="2"/>
    </row>
    <row r="797" ht="15.75" customHeight="1">
      <c r="B797" s="2" t="s">
        <v>990</v>
      </c>
      <c r="C797" s="2" t="s">
        <v>991</v>
      </c>
    </row>
    <row r="798" ht="15.75" customHeight="1">
      <c r="A798" s="2" t="s">
        <v>4</v>
      </c>
      <c r="B798" s="2" t="str">
        <f>IFERROR(__xludf.DUMMYFUNCTION("CONCAT(""&lt;"",GOOGLETRANSLATE(B797,""en"",""ar""))"),"&lt;آهان")</f>
        <v>&lt;آهان</v>
      </c>
      <c r="C798" s="2" t="str">
        <f>IFERROR(__xludf.DUMMYFUNCTION("CONCAT(""&lt;"",GOOGLETRANSLATE(C797,""en"",""ar""))"),"&lt;آهان نسل Jerahmeel ؛ قبيلة يهوذا")</f>
        <v>&lt;آهان نسل Jerahmeel ؛ قبيلة يهوذا</v>
      </c>
    </row>
    <row r="799" ht="15.75" customHeight="1">
      <c r="A799" s="1" t="s">
        <v>992</v>
      </c>
      <c r="B799" s="2" t="s">
        <v>993</v>
      </c>
      <c r="C799" s="2"/>
    </row>
    <row r="800" ht="15.75" customHeight="1">
      <c r="B800" s="2" t="s">
        <v>994</v>
      </c>
    </row>
    <row r="801" ht="15.75" customHeight="1">
      <c r="A801" s="2" t="s">
        <v>4</v>
      </c>
      <c r="B801" s="2" t="str">
        <f>IFERROR(__xludf.DUMMYFUNCTION("CONCAT(""&lt;"",GOOGLETRANSLATE(B800,""en"",""ar""))"),"&lt;للذهاب في أي من الاتجاهين")</f>
        <v>&lt;للذهاب في أي من الاتجاهين</v>
      </c>
      <c r="C801" s="2"/>
    </row>
    <row r="802" ht="15.75" customHeight="1">
      <c r="A802" s="1" t="s">
        <v>995</v>
      </c>
      <c r="B802" s="2" t="s">
        <v>996</v>
      </c>
      <c r="C802" s="2"/>
    </row>
    <row r="803" ht="15.75" customHeight="1">
      <c r="B803" s="2" t="s">
        <v>997</v>
      </c>
      <c r="C803" s="2" t="s">
        <v>998</v>
      </c>
    </row>
    <row r="804" ht="15.75" customHeight="1">
      <c r="A804" s="2" t="s">
        <v>4</v>
      </c>
      <c r="B804" s="2" t="str">
        <f>IFERROR(__xludf.DUMMYFUNCTION("CONCAT(""&lt;"",GOOGLETRANSLATE(B803,""en"",""ar""))"),"&lt;واحد")</f>
        <v>&lt;واحد</v>
      </c>
      <c r="C804" s="2" t="str">
        <f>IFERROR(__xludf.DUMMYFUNCTION("CONCAT(""&lt;"",GOOGLETRANSLATE(C803,""en"",""ar""))"),"&lt;رقم واحد")</f>
        <v>&lt;رقم واحد</v>
      </c>
    </row>
    <row r="805" ht="15.75" customHeight="1">
      <c r="A805" s="1" t="s">
        <v>999</v>
      </c>
      <c r="B805" s="2" t="s">
        <v>1000</v>
      </c>
      <c r="C805" s="2"/>
    </row>
    <row r="806" ht="15.75" customHeight="1">
      <c r="B806" s="2" t="s">
        <v>215</v>
      </c>
      <c r="C806" s="2" t="s">
        <v>1001</v>
      </c>
    </row>
    <row r="807" ht="15.75" customHeight="1">
      <c r="A807" s="2" t="s">
        <v>4</v>
      </c>
      <c r="B807" s="2" t="str">
        <f>IFERROR(__xludf.DUMMYFUNCTION("CONCAT(""&lt;"",GOOGLETRANSLATE(B806,""en"",""ar""))"),"&lt;مرج")</f>
        <v>&lt;مرج</v>
      </c>
      <c r="C807" s="2" t="str">
        <f>IFERROR(__xludf.DUMMYFUNCTION("CONCAT(""&lt;"",GOOGLETRANSLATE(C806,""en"",""ar""))"),"&lt;العشب ، القصب")</f>
        <v>&lt;العشب ، القصب</v>
      </c>
    </row>
    <row r="808" ht="15.75" customHeight="1">
      <c r="A808" s="1" t="s">
        <v>1002</v>
      </c>
      <c r="B808" s="2" t="s">
        <v>1003</v>
      </c>
      <c r="C808" s="2"/>
    </row>
    <row r="809" ht="15.75" customHeight="1">
      <c r="B809" s="2" t="s">
        <v>622</v>
      </c>
      <c r="C809" s="2" t="s">
        <v>1004</v>
      </c>
    </row>
    <row r="810" ht="15.75" customHeight="1">
      <c r="A810" s="2" t="s">
        <v>4</v>
      </c>
      <c r="B810" s="2" t="str">
        <f>IFERROR(__xludf.DUMMYFUNCTION("CONCAT(""&lt;"",GOOGLETRANSLATE(B809,""en"",""ar""))"),"&lt;ehud")</f>
        <v>&lt;ehud</v>
      </c>
      <c r="C810" s="2" t="str">
        <f>IFERROR(__xludf.DUMMYFUNCTION("CONCAT(""&lt;"",GOOGLETRANSLATE(C809,""en"",""ar""))"),"&lt;ehud رجل؛ قبيلة بنيامين")</f>
        <v>&lt;ehud رجل؛ قبيلة بنيامين</v>
      </c>
    </row>
    <row r="811" ht="15.75" customHeight="1">
      <c r="A811" s="1" t="s">
        <v>1005</v>
      </c>
      <c r="B811" s="2" t="s">
        <v>1006</v>
      </c>
      <c r="C811" s="2"/>
    </row>
    <row r="812" ht="15.75" customHeight="1">
      <c r="B812" s="2" t="s">
        <v>1007</v>
      </c>
      <c r="C812" s="2" t="s">
        <v>1007</v>
      </c>
    </row>
    <row r="813" ht="15.75" customHeight="1">
      <c r="A813" s="2" t="s">
        <v>4</v>
      </c>
      <c r="B813" s="2" t="str">
        <f>IFERROR(__xludf.DUMMYFUNCTION("CONCAT(""&lt;"",GOOGLETRANSLATE(B812,""en"",""ar""))"),"&lt;تصريح")</f>
        <v>&lt;تصريح</v>
      </c>
      <c r="C813" s="2" t="str">
        <f>IFERROR(__xludf.DUMMYFUNCTION("CONCAT(""&lt;"",GOOGLETRANSLATE(C812,""en"",""ar""))"),"&lt;تصريح")</f>
        <v>&lt;تصريح</v>
      </c>
    </row>
    <row r="814" ht="15.75" customHeight="1">
      <c r="A814" s="1" t="s">
        <v>1008</v>
      </c>
      <c r="B814" s="2" t="s">
        <v>1009</v>
      </c>
      <c r="C814" s="2"/>
    </row>
    <row r="815" ht="15.75" customHeight="1">
      <c r="B815" s="2" t="s">
        <v>1010</v>
      </c>
      <c r="C815" s="2" t="s">
        <v>1007</v>
      </c>
    </row>
    <row r="816" ht="15.75" customHeight="1">
      <c r="A816" s="2" t="s">
        <v>4</v>
      </c>
      <c r="B816" s="2" t="str">
        <f>IFERROR(__xludf.DUMMYFUNCTION("CONCAT(""&lt;"",GOOGLETRANSLATE(B815,""en"",""ar""))"),"&lt;توضيح")</f>
        <v>&lt;توضيح</v>
      </c>
      <c r="C816" s="2" t="str">
        <f>IFERROR(__xludf.DUMMYFUNCTION("CONCAT(""&lt;"",GOOGLETRANSLATE(C815,""en"",""ar""))"),"&lt;تصريح")</f>
        <v>&lt;تصريح</v>
      </c>
    </row>
    <row r="817" ht="15.75" customHeight="1">
      <c r="A817" s="1" t="s">
        <v>1011</v>
      </c>
      <c r="B817" s="2" t="s">
        <v>1012</v>
      </c>
      <c r="C817" s="2"/>
    </row>
    <row r="818" ht="15.75" customHeight="1">
      <c r="B818" s="2" t="s">
        <v>1013</v>
      </c>
      <c r="C818" s="2" t="s">
        <v>1013</v>
      </c>
    </row>
    <row r="819" ht="15.75" customHeight="1">
      <c r="A819" s="2" t="s">
        <v>4</v>
      </c>
      <c r="B819" s="2" t="str">
        <f>IFERROR(__xludf.DUMMYFUNCTION("CONCAT(""&lt;"",GOOGLETRANSLATE(B818,""en"",""ar""))"),"&lt;أخوة")</f>
        <v>&lt;أخوة</v>
      </c>
      <c r="C819" s="2" t="str">
        <f>IFERROR(__xludf.DUMMYFUNCTION("CONCAT(""&lt;"",GOOGLETRANSLATE(C818,""en"",""ar""))"),"&lt;أخوة")</f>
        <v>&lt;أخوة</v>
      </c>
    </row>
    <row r="820" ht="15.75" customHeight="1">
      <c r="A820" s="1" t="s">
        <v>1014</v>
      </c>
      <c r="B820" s="2" t="s">
        <v>1015</v>
      </c>
      <c r="C820" s="2"/>
    </row>
    <row r="821" ht="15.75" customHeight="1">
      <c r="B821" s="2" t="s">
        <v>1016</v>
      </c>
      <c r="C821" s="2" t="s">
        <v>1017</v>
      </c>
    </row>
    <row r="822" ht="15.75" customHeight="1">
      <c r="A822" s="2" t="s">
        <v>4</v>
      </c>
      <c r="B822" s="2" t="str">
        <f>IFERROR(__xludf.DUMMYFUNCTION("CONCAT(""&lt;"",GOOGLETRANSLATE(B821,""en"",""ar""))"),"&lt;ahoah")</f>
        <v>&lt;ahoah</v>
      </c>
      <c r="C822" s="2" t="str">
        <f>IFERROR(__xludf.DUMMYFUNCTION("CONCAT(""&lt;"",GOOGLETRANSLATE(C821,""en"",""ar""))"),"&lt;ahoah ابن بيلا قبيلة بنيامين")</f>
        <v>&lt;ahoah ابن بيلا قبيلة بنيامين</v>
      </c>
    </row>
    <row r="823" ht="15.75" customHeight="1">
      <c r="A823" s="1" t="s">
        <v>1018</v>
      </c>
      <c r="B823" s="2" t="s">
        <v>1019</v>
      </c>
      <c r="C823" s="2"/>
    </row>
    <row r="824" ht="15.75" customHeight="1">
      <c r="B824" s="2" t="s">
        <v>1020</v>
      </c>
      <c r="C824" s="2" t="s">
        <v>1021</v>
      </c>
    </row>
    <row r="825" ht="15.75" customHeight="1">
      <c r="A825" s="2" t="s">
        <v>4</v>
      </c>
      <c r="B825" s="2" t="str">
        <f>IFERROR(__xludf.DUMMYFUNCTION("CONCAT(""&lt;"",GOOGLETRANSLATE(B824,""en"",""ar""))"),"&lt;ahohite")</f>
        <v>&lt;ahohite</v>
      </c>
      <c r="C825" s="2" t="str">
        <f>IFERROR(__xludf.DUMMYFUNCTION("CONCAT(""&lt;"",GOOGLETRANSLATE(C824,""en"",""ar""))"),"&lt;ahohite سليل أهوه ؛ قبيلة بنيامين")</f>
        <v>&lt;ahohite سليل أهوه ؛ قبيلة بنيامين</v>
      </c>
    </row>
    <row r="826" ht="15.75" customHeight="1">
      <c r="A826" s="1" t="s">
        <v>1022</v>
      </c>
      <c r="B826" s="2" t="s">
        <v>1023</v>
      </c>
      <c r="C826" s="2"/>
    </row>
    <row r="827" ht="15.75" customHeight="1">
      <c r="B827" s="2" t="s">
        <v>1024</v>
      </c>
      <c r="C827" s="2" t="s">
        <v>1025</v>
      </c>
    </row>
    <row r="828" ht="15.75" customHeight="1">
      <c r="A828" s="2" t="s">
        <v>4</v>
      </c>
      <c r="B828" s="2" t="str">
        <f>IFERROR(__xludf.DUMMYFUNCTION("CONCAT(""&lt;"",GOOGLETRANSLATE(B827,""en"",""ar""))"),"&lt;Ahumai")</f>
        <v>&lt;Ahumai</v>
      </c>
      <c r="C828" s="2" t="str">
        <f>IFERROR(__xludf.DUMMYFUNCTION("CONCAT(""&lt;"",GOOGLETRANSLATE(C827,""en"",""ar""))"),"&lt;Ahumai ابن جهات قبيلة يهوذا")</f>
        <v>&lt;Ahumai ابن جهات قبيلة يهوذا</v>
      </c>
    </row>
    <row r="829" ht="15.75" customHeight="1">
      <c r="A829" s="1" t="s">
        <v>1026</v>
      </c>
      <c r="B829" s="2" t="s">
        <v>1027</v>
      </c>
      <c r="C829" s="2"/>
    </row>
    <row r="830" ht="15.75" customHeight="1">
      <c r="B830" s="2" t="s">
        <v>1028</v>
      </c>
      <c r="C830" s="2" t="s">
        <v>1029</v>
      </c>
    </row>
    <row r="831" ht="15.75" customHeight="1">
      <c r="A831" s="2" t="s">
        <v>4</v>
      </c>
      <c r="B831" s="2" t="str">
        <f>IFERROR(__xludf.DUMMYFUNCTION("CONCAT(""&lt;"",GOOGLETRANSLATE(B830,""en"",""ar""))"),"&lt;خلف")</f>
        <v>&lt;خلف</v>
      </c>
      <c r="C831" s="2" t="str">
        <f>IFERROR(__xludf.DUMMYFUNCTION("CONCAT(""&lt;"",GOOGLETRANSLATE(C830,""en"",""ar""))"),"&lt;خلف؛ خلف؛ الغرب عقب ذلك مباشرة")</f>
        <v>&lt;خلف؛ خلف؛ الغرب عقب ذلك مباشرة</v>
      </c>
    </row>
    <row r="832" ht="15.75" customHeight="1">
      <c r="A832" s="1" t="s">
        <v>1030</v>
      </c>
      <c r="B832" s="2" t="s">
        <v>1031</v>
      </c>
      <c r="C832" s="2"/>
    </row>
    <row r="833" ht="15.75" customHeight="1">
      <c r="B833" s="2" t="s">
        <v>1032</v>
      </c>
      <c r="C833" s="2" t="s">
        <v>1032</v>
      </c>
    </row>
    <row r="834" ht="15.75" customHeight="1">
      <c r="A834" s="2" t="s">
        <v>4</v>
      </c>
      <c r="B834" s="2" t="str">
        <f>IFERROR(__xludf.DUMMYFUNCTION("CONCAT(""&lt;"",GOOGLETRANSLATE(B833,""en"",""ar""))"),"&lt;أخت")</f>
        <v>&lt;أخت</v>
      </c>
      <c r="C834" s="2" t="str">
        <f>IFERROR(__xludf.DUMMYFUNCTION("CONCAT(""&lt;"",GOOGLETRANSLATE(C833,""en"",""ar""))"),"&lt;أخت")</f>
        <v>&lt;أخت</v>
      </c>
    </row>
    <row r="835" ht="15.75" customHeight="1">
      <c r="A835" s="1" t="s">
        <v>1033</v>
      </c>
      <c r="B835" s="2" t="s">
        <v>1034</v>
      </c>
      <c r="C835" s="2"/>
    </row>
    <row r="836" ht="15.75" customHeight="1">
      <c r="B836" s="2" t="s">
        <v>1035</v>
      </c>
      <c r="C836" s="2" t="s">
        <v>1036</v>
      </c>
    </row>
    <row r="837" ht="15.75" customHeight="1">
      <c r="A837" s="2" t="s">
        <v>4</v>
      </c>
      <c r="B837" s="2" t="str">
        <f>IFERROR(__xludf.DUMMYFUNCTION("CONCAT(""&lt;"",GOOGLETRANSLATE(B836,""en"",""ar""))"),"&lt;لفهم")</f>
        <v>&lt;لفهم</v>
      </c>
      <c r="C837" s="2" t="str">
        <f>IFERROR(__xludf.DUMMYFUNCTION("CONCAT(""&lt;"",GOOGLETRANSLATE(C836,""en"",""ar""))"),"&lt;(أ) QAL للاستيلاء ؛ (ب) الترباس. (ج) نيف. ليتم الاستيلاء عليها (د) PI. ان يصمت؛ (هـ) هوف. ليتم إرفاقها")</f>
        <v>&lt;(أ) QAL للاستيلاء ؛ (ب) الترباس. (ج) نيف. ليتم الاستيلاء عليها (د) PI. ان يصمت؛ (هـ) هوف. ليتم إرفاقها</v>
      </c>
    </row>
    <row r="838" ht="15.75" customHeight="1">
      <c r="A838" s="1" t="s">
        <v>1037</v>
      </c>
      <c r="B838" s="2" t="s">
        <v>1038</v>
      </c>
      <c r="C838" s="2"/>
    </row>
    <row r="839" ht="15.75" customHeight="1">
      <c r="B839" s="2" t="s">
        <v>1039</v>
      </c>
      <c r="C839" s="2" t="s">
        <v>1040</v>
      </c>
    </row>
    <row r="840" ht="15.75" customHeight="1">
      <c r="A840" s="2" t="s">
        <v>4</v>
      </c>
      <c r="B840" s="2" t="str">
        <f>IFERROR(__xludf.DUMMYFUNCTION("CONCAT(""&lt;"",GOOGLETRANSLATE(B839,""en"",""ar""))"),"&lt;أهاز")</f>
        <v>&lt;أهاز</v>
      </c>
      <c r="C840" s="2" t="str">
        <f>IFERROR(__xludf.DUMMYFUNCTION("CONCAT(""&lt;"",GOOGLETRANSLATE(C839,""en"",""ar""))"),"&lt;(أ) أهاز ؛ ابن جوتام ملك يهوذا (732/31-716/15) ؛ (ب) أهاز ؛ ابن ميكا قبيلة بنيامين")</f>
        <v>&lt;(أ) أهاز ؛ ابن جوتام ملك يهوذا (732/31-716/15) ؛ (ب) أهاز ؛ ابن ميكا قبيلة بنيامين</v>
      </c>
    </row>
    <row r="841" ht="15.75" customHeight="1">
      <c r="A841" s="1" t="s">
        <v>1041</v>
      </c>
      <c r="B841" s="2" t="s">
        <v>1042</v>
      </c>
      <c r="C841" s="2"/>
    </row>
    <row r="842" ht="15.75" customHeight="1">
      <c r="B842" s="2" t="s">
        <v>1043</v>
      </c>
      <c r="C842" s="2" t="s">
        <v>1043</v>
      </c>
    </row>
    <row r="843" ht="15.75" customHeight="1">
      <c r="A843" s="2" t="s">
        <v>4</v>
      </c>
      <c r="B843" s="2" t="str">
        <f>IFERROR(__xludf.DUMMYFUNCTION("CONCAT(""&lt;"",GOOGLETRANSLATE(B842,""en"",""ar""))"),"&lt;تملُّك")</f>
        <v>&lt;تملُّك</v>
      </c>
      <c r="C843" s="2" t="str">
        <f>IFERROR(__xludf.DUMMYFUNCTION("CONCAT(""&lt;"",GOOGLETRANSLATE(C842,""en"",""ar""))"),"&lt;تملُّك")</f>
        <v>&lt;تملُّك</v>
      </c>
    </row>
    <row r="844" ht="15.75" customHeight="1">
      <c r="A844" s="1" t="s">
        <v>1044</v>
      </c>
      <c r="B844" s="2" t="s">
        <v>1045</v>
      </c>
      <c r="C844" s="2"/>
    </row>
    <row r="845" ht="15.75" customHeight="1">
      <c r="B845" s="2" t="s">
        <v>1046</v>
      </c>
      <c r="C845" s="2" t="s">
        <v>1047</v>
      </c>
    </row>
    <row r="846" ht="15.75" customHeight="1">
      <c r="A846" s="2" t="s">
        <v>4</v>
      </c>
      <c r="B846" s="2" t="str">
        <f>IFERROR(__xludf.DUMMYFUNCTION("CONCAT(""&lt;"",GOOGLETRANSLATE(B845,""en"",""ar""))"),"&lt;آهزاي")</f>
        <v>&lt;آهزاي</v>
      </c>
      <c r="C846" s="2" t="str">
        <f>IFERROR(__xludf.DUMMYFUNCTION("CONCAT(""&lt;"",GOOGLETRANSLATE(C845,""en"",""ar""))"),"&lt;آهزاي ابن Meshillemoth (Meshillemith) ؛ أجداد Amashsai (Maasai) ، كاهن")</f>
        <v>&lt;آهزاي ابن Meshillemoth (Meshillemith) ؛ أجداد Amashsai (Maasai) ، كاهن</v>
      </c>
    </row>
    <row r="847" ht="15.75" customHeight="1">
      <c r="A847" s="1" t="s">
        <v>1048</v>
      </c>
      <c r="B847" s="2" t="s">
        <v>1049</v>
      </c>
      <c r="C847" s="2"/>
    </row>
    <row r="848" ht="15.75" customHeight="1">
      <c r="B848" s="2" t="s">
        <v>1050</v>
      </c>
      <c r="C848" s="2" t="s">
        <v>1051</v>
      </c>
    </row>
    <row r="849" ht="15.75" customHeight="1">
      <c r="A849" s="2" t="s">
        <v>4</v>
      </c>
      <c r="B849" s="2" t="str">
        <f>IFERROR(__xludf.DUMMYFUNCTION("CONCAT(""&lt;"",GOOGLETRANSLATE(B848,""en"",""ar""))"),"&lt;أهزيا")</f>
        <v>&lt;أهزيا</v>
      </c>
      <c r="C849" s="2" t="str">
        <f>IFERROR(__xludf.DUMMYFUNCTION("CONCAT(""&lt;"",GOOGLETRANSLATE(C848,""en"",""ar""))"),"&lt;(a) אֲחַזְיָהוּ   Ahaziah; ابن آب. ملك إسرائيل (b) יְהוֹאָחָז ,אֲחַזְיָהוּ   Ahaziah; ابن جورام ملك يهوذا")</f>
        <v>&lt;(a) אֲחַזְיָהוּ   Ahaziah; ابن آب. ملك إسرائيل (b) יְהוֹאָחָז ,אֲחַזְיָהוּ   Ahaziah; ابن جورام ملك يهوذا</v>
      </c>
    </row>
    <row r="850" ht="15.75" customHeight="1">
      <c r="A850" s="1" t="s">
        <v>1052</v>
      </c>
      <c r="B850" s="2" t="s">
        <v>1053</v>
      </c>
      <c r="C850" s="2"/>
    </row>
    <row r="851" ht="15.75" customHeight="1">
      <c r="B851" s="2" t="s">
        <v>1054</v>
      </c>
      <c r="C851" s="2" t="s">
        <v>1055</v>
      </c>
    </row>
    <row r="852" ht="15.75" customHeight="1">
      <c r="A852" s="2" t="s">
        <v>4</v>
      </c>
      <c r="B852" s="2" t="str">
        <f>IFERROR(__xludf.DUMMYFUNCTION("CONCAT(""&lt;"",GOOGLETRANSLATE(B851,""en"",""ar""))"),"&lt;ahuzzam")</f>
        <v>&lt;ahuzzam</v>
      </c>
      <c r="C852" s="2" t="str">
        <f>IFERROR(__xludf.DUMMYFUNCTION("CONCAT(""&lt;"",GOOGLETRANSLATE(C851,""en"",""ar""))"),"&lt;ahuzzam ابن أشور قبيلة يهوذا")</f>
        <v>&lt;ahuzzam ابن أشور قبيلة يهوذا</v>
      </c>
    </row>
    <row r="853" ht="15.75" customHeight="1">
      <c r="A853" s="1" t="s">
        <v>1056</v>
      </c>
      <c r="B853" s="2" t="s">
        <v>1057</v>
      </c>
      <c r="C853" s="2"/>
    </row>
    <row r="854" ht="15.75" customHeight="1">
      <c r="B854" s="2" t="s">
        <v>1058</v>
      </c>
      <c r="C854" s="2" t="s">
        <v>1059</v>
      </c>
    </row>
    <row r="855" ht="15.75" customHeight="1">
      <c r="A855" s="2" t="s">
        <v>4</v>
      </c>
      <c r="B855" s="2" t="str">
        <f>IFERROR(__xludf.DUMMYFUNCTION("CONCAT(""&lt;"",GOOGLETRANSLATE(B854,""en"",""ar""))"),"&lt;ahuzzath")</f>
        <v>&lt;ahuzzath</v>
      </c>
      <c r="C855" s="2" t="str">
        <f>IFERROR(__xludf.DUMMYFUNCTION("CONCAT(""&lt;"",GOOGLETRANSLATE(C854,""en"",""ar""))"),"&lt;ahuzzath مستشار Abimelech")</f>
        <v>&lt;ahuzzath مستشار Abimelech</v>
      </c>
    </row>
    <row r="856" ht="15.75" customHeight="1">
      <c r="A856" s="1" t="s">
        <v>1060</v>
      </c>
      <c r="B856" s="2" t="s">
        <v>1061</v>
      </c>
      <c r="C856" s="2"/>
    </row>
    <row r="857" ht="15.75" customHeight="1">
      <c r="B857" s="2" t="s">
        <v>1062</v>
      </c>
      <c r="C857" s="2" t="s">
        <v>1063</v>
      </c>
    </row>
    <row r="858" ht="15.75" customHeight="1">
      <c r="A858" s="2" t="s">
        <v>4</v>
      </c>
      <c r="B858" s="2" t="str">
        <f>IFERROR(__xludf.DUMMYFUNCTION("CONCAT(""&lt;"",GOOGLETRANSLATE(B857,""en"",""ar""))"),"&lt;آه")</f>
        <v>&lt;آه</v>
      </c>
      <c r="C858" s="2" t="str">
        <f>IFERROR(__xludf.DUMMYFUNCTION("CONCAT(""&lt;"",GOOGLETRANSLATE(C857,""en"",""ar""))"),"&lt;(أ) آي ؛ ابن عبدال قبيلة جاد (ب) أوي ؛ ابن شيمر قبيلة آشر")</f>
        <v>&lt;(أ) آي ؛ ابن عبدال قبيلة جاد (ب) أوي ؛ ابن شيمر قبيلة آشر</v>
      </c>
    </row>
    <row r="859" ht="15.75" customHeight="1">
      <c r="A859" s="1" t="s">
        <v>1064</v>
      </c>
      <c r="B859" s="2" t="s">
        <v>1065</v>
      </c>
      <c r="C859" s="2"/>
    </row>
    <row r="860" ht="15.75" customHeight="1">
      <c r="B860" s="2" t="s">
        <v>1066</v>
      </c>
      <c r="C860" s="2" t="s">
        <v>1067</v>
      </c>
    </row>
    <row r="861" ht="15.75" customHeight="1">
      <c r="A861" s="2" t="s">
        <v>4</v>
      </c>
      <c r="B861" s="2" t="str">
        <f>IFERROR(__xludf.DUMMYFUNCTION("CONCAT(""&lt;"",GOOGLETRANSLATE(B860,""en"",""ar""))"),"&lt;إيه")</f>
        <v>&lt;إيه</v>
      </c>
      <c r="C861" s="2" t="str">
        <f>IFERROR(__xludf.DUMMYFUNCTION("CONCAT(""&lt;"",GOOGLETRANSLATE(C860,""en"",""ar""))"),"&lt;ehi ؛ ابن بنيامين")</f>
        <v>&lt;ehi ؛ ابن بنيامين</v>
      </c>
    </row>
    <row r="862" ht="15.75" customHeight="1">
      <c r="A862" s="1" t="s">
        <v>1068</v>
      </c>
      <c r="B862" s="2" t="s">
        <v>1069</v>
      </c>
      <c r="C862" s="2"/>
    </row>
    <row r="863" ht="15.75" customHeight="1">
      <c r="B863" s="2" t="s">
        <v>1070</v>
      </c>
      <c r="C863" s="2" t="s">
        <v>1071</v>
      </c>
    </row>
    <row r="864" ht="15.75" customHeight="1">
      <c r="A864" s="2" t="s">
        <v>4</v>
      </c>
      <c r="B864" s="2" t="str">
        <f>IFERROR(__xludf.DUMMYFUNCTION("CONCAT(""&lt;"",GOOGLETRANSLATE(B863,""en"",""ar""))"),"&lt;أهام")</f>
        <v>&lt;أهام</v>
      </c>
      <c r="C864" s="2" t="str">
        <f>IFERROR(__xludf.DUMMYFUNCTION("CONCAT(""&lt;"",GOOGLETRANSLATE(C863,""en"",""ar""))"),"&lt;أهام نجل ساشار ، شارار ؛ محارب؛ وقت الملك داود")</f>
        <v>&lt;أهام نجل ساشار ، شارار ؛ محارب؛ وقت الملك داود</v>
      </c>
    </row>
    <row r="865" ht="15.75" customHeight="1">
      <c r="A865" s="1" t="s">
        <v>1072</v>
      </c>
      <c r="B865" s="2" t="s">
        <v>1073</v>
      </c>
      <c r="C865" s="2"/>
    </row>
    <row r="866" ht="15.75" customHeight="1">
      <c r="B866" s="2" t="s">
        <v>1074</v>
      </c>
    </row>
    <row r="867" ht="15.75" customHeight="1">
      <c r="A867" s="2" t="s">
        <v>4</v>
      </c>
      <c r="B867" s="2" t="str">
        <f>IFERROR(__xludf.DUMMYFUNCTION("CONCAT(""&lt;"",GOOGLETRANSLATE(B866,""en"",""ar""))"),"&lt;لغز")</f>
        <v>&lt;لغز</v>
      </c>
      <c r="C867" s="2"/>
    </row>
    <row r="868" ht="15.75" customHeight="1">
      <c r="A868" s="1" t="s">
        <v>1075</v>
      </c>
      <c r="B868" s="2" t="s">
        <v>1076</v>
      </c>
      <c r="C868" s="2"/>
    </row>
    <row r="869" ht="15.75" customHeight="1">
      <c r="B869" s="2" t="s">
        <v>1077</v>
      </c>
      <c r="C869" s="2" t="s">
        <v>1078</v>
      </c>
    </row>
    <row r="870" ht="15.75" customHeight="1">
      <c r="A870" s="2" t="s">
        <v>4</v>
      </c>
      <c r="B870" s="2" t="str">
        <f>IFERROR(__xludf.DUMMYFUNCTION("CONCAT(""&lt;"",GOOGLETRANSLATE(B869,""en"",""ar""))"),"&lt;Ahiah")</f>
        <v>&lt;Ahiah</v>
      </c>
      <c r="C870" s="2" t="str">
        <f>IFERROR(__xludf.DUMMYFUNCTION("CONCAT(""&lt;"",GOOGLETRANSLATE(C869,""en"",""ar""))"),"&lt;(أ) ahijah ؛ ابن Ahitub سليل إيلي ؛ كاهن؛ (ب) أهية ؛ ابن شيشا وزير الملك سليمان (c) אֲחִיָּהוּ   Ahijah; نبي؛ وقت الملك Jeroboam ؛ (د) ahijah ؛ والد باشا ، ملك إسرائيل ؛ (هـ) Ahijah ؛ ابن جيراهميل قبيلة يهوذا (و) ahijah ؛ ابن إيهود. قبيلة بنيامين (ز) Ahi"&amp;"jah ؛ محارب؛ وقت الملك داود (ح) Ahijah ؛ ليفيت وقت الملك داود (ط) ahijah ؛ رئيس؛ بعد المنفى \ ahijah ؛ نبي؛ وقت Jeroboam")</f>
        <v>&lt;(أ) ahijah ؛ ابن Ahitub سليل إيلي ؛ كاهن؛ (ب) أهية ؛ ابن شيشا وزير الملك سليمان (c) אֲחִיָּהוּ   Ahijah; نبي؛ وقت الملك Jeroboam ؛ (د) ahijah ؛ والد باشا ، ملك إسرائيل ؛ (هـ) Ahijah ؛ ابن جيراهميل قبيلة يهوذا (و) ahijah ؛ ابن إيهود. قبيلة بنيامين (ز) Ahijah ؛ محارب؛ وقت الملك داود (ح) Ahijah ؛ ليفيت وقت الملك داود (ط) ahijah ؛ رئيس؛ بعد المنفى \ ahijah ؛ نبي؛ وقت Jeroboam</v>
      </c>
    </row>
    <row r="871" ht="15.75" customHeight="1">
      <c r="A871" s="1" t="s">
        <v>1079</v>
      </c>
      <c r="B871" s="2" t="s">
        <v>1080</v>
      </c>
      <c r="C871" s="2"/>
    </row>
    <row r="872" ht="15.75" customHeight="1">
      <c r="B872" s="2" t="s">
        <v>1081</v>
      </c>
      <c r="C872" s="2" t="s">
        <v>1082</v>
      </c>
    </row>
    <row r="873" ht="15.75" customHeight="1">
      <c r="A873" s="2" t="s">
        <v>4</v>
      </c>
      <c r="B873" s="2" t="str">
        <f>IFERROR(__xludf.DUMMYFUNCTION("CONCAT(""&lt;"",GOOGLETRANSLATE(B872,""en"",""ar""))"),"&lt;ahihud")</f>
        <v>&lt;ahihud</v>
      </c>
      <c r="C873" s="2" t="str">
        <f>IFERROR(__xludf.DUMMYFUNCTION("CONCAT(""&lt;"",GOOGLETRANSLATE(C872,""en"",""ar""))"),"&lt;ahihud ابن شيلومي رئيس؛ قبيلة آشر")</f>
        <v>&lt;ahihud ابن شيلومي رئيس؛ قبيلة آشر</v>
      </c>
    </row>
    <row r="874" ht="15.75" customHeight="1">
      <c r="A874" s="1" t="s">
        <v>1083</v>
      </c>
      <c r="B874" s="2" t="s">
        <v>1084</v>
      </c>
      <c r="C874" s="2"/>
    </row>
    <row r="875" ht="15.75" customHeight="1">
      <c r="B875" s="2" t="s">
        <v>1085</v>
      </c>
      <c r="C875" s="2" t="s">
        <v>1086</v>
      </c>
    </row>
    <row r="876" ht="15.75" customHeight="1">
      <c r="A876" s="2" t="s">
        <v>4</v>
      </c>
      <c r="B876" s="2" t="str">
        <f>IFERROR(__xludf.DUMMYFUNCTION("CONCAT(""&lt;"",GOOGLETRANSLATE(B875,""en"",""ar""))"),"&lt;Ahio")</f>
        <v>&lt;Ahio</v>
      </c>
      <c r="C876" s="2" t="str">
        <f>IFERROR(__xludf.DUMMYFUNCTION("CONCAT(""&lt;"",GOOGLETRANSLATE(C875,""en"",""ar""))"),"&lt;(أ) أويو ؛ ابن أبيناداب ؛ (ب) أهيو ؛ ابن بيريا رأس الأسرة قبيلة بنيامين (ج) Ahio ؛ ابن جيل قبيلة بنيامين")</f>
        <v>&lt;(أ) أويو ؛ ابن أبيناداب ؛ (ب) أهيو ؛ ابن بيريا رأس الأسرة قبيلة بنيامين (ج) Ahio ؛ ابن جيل قبيلة بنيامين</v>
      </c>
    </row>
    <row r="877" ht="15.75" customHeight="1">
      <c r="A877" s="1" t="s">
        <v>1087</v>
      </c>
      <c r="B877" s="2" t="s">
        <v>1088</v>
      </c>
      <c r="C877" s="2"/>
    </row>
    <row r="878" ht="15.75" customHeight="1">
      <c r="B878" s="2" t="s">
        <v>1081</v>
      </c>
      <c r="C878" s="2" t="s">
        <v>1089</v>
      </c>
    </row>
    <row r="879" ht="15.75" customHeight="1">
      <c r="A879" s="2" t="s">
        <v>4</v>
      </c>
      <c r="B879" s="2" t="str">
        <f>IFERROR(__xludf.DUMMYFUNCTION("CONCAT(""&lt;"",GOOGLETRANSLATE(B878,""en"",""ar""))"),"&lt;ahihud")</f>
        <v>&lt;ahihud</v>
      </c>
      <c r="C879" s="2" t="str">
        <f>IFERROR(__xludf.DUMMYFUNCTION("CONCAT(""&lt;"",GOOGLETRANSLATE(C878,""en"",""ar""))"),"&lt;ahihud ابن جيرا قبيلة بنيامين")</f>
        <v>&lt;ahihud ابن جيرا قبيلة بنيامين</v>
      </c>
    </row>
    <row r="880" ht="15.75" customHeight="1">
      <c r="A880" s="1" t="s">
        <v>1090</v>
      </c>
      <c r="B880" s="2" t="s">
        <v>1091</v>
      </c>
      <c r="C880" s="2"/>
    </row>
    <row r="881" ht="15.75" customHeight="1">
      <c r="B881" s="2" t="s">
        <v>1092</v>
      </c>
      <c r="C881" s="2" t="s">
        <v>1093</v>
      </c>
    </row>
    <row r="882" ht="15.75" customHeight="1">
      <c r="A882" s="2" t="s">
        <v>4</v>
      </c>
      <c r="B882" s="2" t="str">
        <f>IFERROR(__xludf.DUMMYFUNCTION("CONCAT(""&lt;"",GOOGLETRANSLATE(B881,""en"",""ar""))"),"&lt;ahitub")</f>
        <v>&lt;ahitub</v>
      </c>
      <c r="C882" s="2" t="str">
        <f>IFERROR(__xludf.DUMMYFUNCTION("CONCAT(""&lt;"",GOOGLETRANSLATE(C881,""en"",""ar""))"),"&lt;(أ) ahitub ؛ ابن فينهاس. كاهن؛ قبيلة ليفي (ب) ahitub ؛ ابن أمريا. الكاهن الاكبر؛ قبيلة ليفي (ج) ahitub ؛ ابن أمريا. الكاهن الاكبر؛ قبيلة ليفي (د) ahitub ؛ كاهن؛ قبيلة ليفي")</f>
        <v>&lt;(أ) ahitub ؛ ابن فينهاس. كاهن؛ قبيلة ليفي (ب) ahitub ؛ ابن أمريا. الكاهن الاكبر؛ قبيلة ليفي (ج) ahitub ؛ ابن أمريا. الكاهن الاكبر؛ قبيلة ليفي (د) ahitub ؛ كاهن؛ قبيلة ليفي</v>
      </c>
    </row>
    <row r="883" ht="15.75" customHeight="1">
      <c r="A883" s="1" t="s">
        <v>1094</v>
      </c>
      <c r="B883" s="2" t="s">
        <v>1095</v>
      </c>
      <c r="C883" s="2"/>
    </row>
    <row r="884" ht="15.75" customHeight="1">
      <c r="B884" s="2" t="s">
        <v>1096</v>
      </c>
      <c r="C884" s="2" t="s">
        <v>1097</v>
      </c>
    </row>
    <row r="885" ht="15.75" customHeight="1">
      <c r="A885" s="2" t="s">
        <v>4</v>
      </c>
      <c r="B885" s="2" t="str">
        <f>IFERROR(__xludf.DUMMYFUNCTION("CONCAT(""&lt;"",GOOGLETRANSLATE(B884,""en"",""ar""))"),"&lt;Ahilud")</f>
        <v>&lt;Ahilud</v>
      </c>
      <c r="C885" s="2" t="str">
        <f>IFERROR(__xludf.DUMMYFUNCTION("CONCAT(""&lt;"",GOOGLETRANSLATE(C884,""en"",""ar""))"),"&lt;(أ) أهيلود ؛ والد Jehoshapat ، مسجل ؛ وقت داود (ب) أهيلود ؛ والد بانا ، حاكم المقاطعة ؛ وقت داود")</f>
        <v>&lt;(أ) أهيلود ؛ والد Jehoshapat ، مسجل ؛ وقت داود (ب) أهيلود ؛ والد بانا ، حاكم المقاطعة ؛ وقت داود</v>
      </c>
    </row>
    <row r="886" ht="15.75" customHeight="1">
      <c r="A886" s="1" t="s">
        <v>1098</v>
      </c>
      <c r="B886" s="2" t="s">
        <v>1099</v>
      </c>
      <c r="C886" s="2"/>
    </row>
    <row r="887" ht="15.75" customHeight="1">
      <c r="B887" s="2" t="s">
        <v>1100</v>
      </c>
      <c r="C887" s="2" t="s">
        <v>1101</v>
      </c>
    </row>
    <row r="888" ht="15.75" customHeight="1">
      <c r="A888" s="2" t="s">
        <v>4</v>
      </c>
      <c r="B888" s="2" t="str">
        <f>IFERROR(__xludf.DUMMYFUNCTION("CONCAT(""&lt;"",GOOGLETRANSLATE(B887,""en"",""ar""))"),"&lt;ahimoth")</f>
        <v>&lt;ahimoth</v>
      </c>
      <c r="C888" s="2" t="str">
        <f>IFERROR(__xludf.DUMMYFUNCTION("CONCAT(""&lt;"",GOOGLETRANSLATE(C887,""en"",""ar""))"),"&lt;Ahimoth ابن الكاناه. قبيلة ليفي")</f>
        <v>&lt;Ahimoth ابن الكاناه. قبيلة ليفي</v>
      </c>
    </row>
    <row r="889" ht="15.75" customHeight="1">
      <c r="A889" s="1" t="s">
        <v>1102</v>
      </c>
      <c r="B889" s="2" t="s">
        <v>1103</v>
      </c>
      <c r="C889" s="2"/>
    </row>
    <row r="890" ht="15.75" customHeight="1">
      <c r="B890" s="2" t="s">
        <v>1104</v>
      </c>
      <c r="C890" s="2" t="s">
        <v>1105</v>
      </c>
    </row>
    <row r="891" ht="15.75" customHeight="1">
      <c r="A891" s="2" t="s">
        <v>4</v>
      </c>
      <c r="B891" s="2" t="str">
        <f>IFERROR(__xludf.DUMMYFUNCTION("CONCAT(""&lt;"",GOOGLETRANSLATE(B890,""en"",""ar""))"),"&lt;Ahimelech")</f>
        <v>&lt;Ahimelech</v>
      </c>
      <c r="C891" s="2" t="str">
        <f>IFERROR(__xludf.DUMMYFUNCTION("CONCAT(""&lt;"",GOOGLETRANSLATE(C890,""en"",""ar""))"),"&lt;(أ) ahimelech ؛ ابن Ahitub والد أبياتار. كاهن؛ وقت الملك داود (ب) Ahimelech ؛ حثى؛ محارب؛ وقت الملك داود (ج) Ahimelech ؛ ابن أبياتار ؛ كاهن؛ وقت الملك داود")</f>
        <v>&lt;(أ) ahimelech ؛ ابن Ahitub والد أبياتار. كاهن؛ وقت الملك داود (ب) Ahimelech ؛ حثى؛ محارب؛ وقت الملك داود (ج) Ahimelech ؛ ابن أبياتار ؛ كاهن؛ وقت الملك داود</v>
      </c>
    </row>
    <row r="892" ht="15.75" customHeight="1">
      <c r="A892" s="1" t="s">
        <v>1106</v>
      </c>
      <c r="B892" s="2" t="s">
        <v>1107</v>
      </c>
      <c r="C892" s="2"/>
    </row>
    <row r="893" ht="15.75" customHeight="1">
      <c r="B893" s="2" t="s">
        <v>1108</v>
      </c>
      <c r="C893" s="2" t="s">
        <v>1109</v>
      </c>
    </row>
    <row r="894" ht="15.75" customHeight="1">
      <c r="A894" s="2" t="s">
        <v>4</v>
      </c>
      <c r="B894" s="2" t="str">
        <f>IFERROR(__xludf.DUMMYFUNCTION("CONCAT(""&lt;"",GOOGLETRANSLATE(B893,""en"",""ar""))"),"&lt;أحيمان")</f>
        <v>&lt;أحيمان</v>
      </c>
      <c r="C894" s="2" t="str">
        <f>IFERROR(__xludf.DUMMYFUNCTION("CONCAT(""&lt;"",GOOGLETRANSLATE(C893,""en"",""ar""))"),"&lt;(أ) أحيمان ؛ عملاق؛ سليل أناك ؛ (ب) أهيمان ؛ حارس البوابة بعد المنفى")</f>
        <v>&lt;(أ) أحيمان ؛ عملاق؛ سليل أناك ؛ (ب) أهيمان ؛ حارس البوابة بعد المنفى</v>
      </c>
    </row>
    <row r="895" ht="15.75" customHeight="1">
      <c r="A895" s="1" t="s">
        <v>1110</v>
      </c>
      <c r="B895" s="2" t="s">
        <v>1111</v>
      </c>
      <c r="C895" s="2"/>
    </row>
    <row r="896" ht="15.75" customHeight="1">
      <c r="B896" s="2" t="s">
        <v>1112</v>
      </c>
      <c r="C896" s="2" t="s">
        <v>1113</v>
      </c>
    </row>
    <row r="897" ht="15.75" customHeight="1">
      <c r="A897" s="2" t="s">
        <v>4</v>
      </c>
      <c r="B897" s="2" t="str">
        <f>IFERROR(__xludf.DUMMYFUNCTION("CONCAT(""&lt;"",GOOGLETRANSLATE(B896,""en"",""ar""))"),"&lt;ايماز")</f>
        <v>&lt;ايماز</v>
      </c>
      <c r="C897" s="2" t="str">
        <f>IFERROR(__xludf.DUMMYFUNCTION("CONCAT(""&lt;"",GOOGLETRANSLATE(C896,""en"",""ar""))"),"&lt;(أ) Ahimaaz ؛ والد أهينوام ، زوجة شاول ؛ (ب) Ahimaaz ؛ ابن زادوك الكاهن الاكبر؛ قبيلة ليفي (ج) Ahimaaz ؛ محافظ حاكم؛ وقت سليمان")</f>
        <v>&lt;(أ) Ahimaaz ؛ والد أهينوام ، زوجة شاول ؛ (ب) Ahimaaz ؛ ابن زادوك الكاهن الاكبر؛ قبيلة ليفي (ج) Ahimaaz ؛ محافظ حاكم؛ وقت سليمان</v>
      </c>
    </row>
    <row r="898" ht="15.75" customHeight="1">
      <c r="A898" s="1" t="s">
        <v>1114</v>
      </c>
      <c r="B898" s="2" t="s">
        <v>1115</v>
      </c>
      <c r="C898" s="2"/>
    </row>
    <row r="899" ht="15.75" customHeight="1">
      <c r="B899" s="2" t="s">
        <v>1116</v>
      </c>
      <c r="C899" s="2" t="s">
        <v>1117</v>
      </c>
    </row>
    <row r="900" ht="15.75" customHeight="1">
      <c r="A900" s="2" t="s">
        <v>4</v>
      </c>
      <c r="B900" s="2" t="str">
        <f>IFERROR(__xludf.DUMMYFUNCTION("CONCAT(""&lt;"",GOOGLETRANSLATE(B899,""en"",""ar""))"),"&lt;أهيان")</f>
        <v>&lt;أهيان</v>
      </c>
      <c r="C900" s="2" t="str">
        <f>IFERROR(__xludf.DUMMYFUNCTION("CONCAT(""&lt;"",GOOGLETRANSLATE(C899,""en"",""ar""))"),"&lt;أهيان ابن شيميدا قبيلة ماناس")</f>
        <v>&lt;أهيان ابن شيميدا قبيلة ماناس</v>
      </c>
    </row>
    <row r="901" ht="15.75" customHeight="1">
      <c r="A901" s="1" t="s">
        <v>1118</v>
      </c>
      <c r="B901" s="2" t="s">
        <v>1119</v>
      </c>
      <c r="C901" s="2"/>
    </row>
    <row r="902" ht="15.75" customHeight="1">
      <c r="B902" s="2" t="s">
        <v>1120</v>
      </c>
      <c r="C902" s="2" t="s">
        <v>1121</v>
      </c>
    </row>
    <row r="903" ht="15.75" customHeight="1">
      <c r="A903" s="2" t="s">
        <v>4</v>
      </c>
      <c r="B903" s="2" t="str">
        <f>IFERROR(__xludf.DUMMYFUNCTION("CONCAT(""&lt;"",GOOGLETRANSLATE(B902,""en"",""ar""))"),"&lt;Ahinadab")</f>
        <v>&lt;Ahinadab</v>
      </c>
      <c r="C903" s="2" t="str">
        <f>IFERROR(__xludf.DUMMYFUNCTION("CONCAT(""&lt;"",GOOGLETRANSLATE(C902,""en"",""ar""))"),"&lt;Ahinadab ابن إددو ؛ رسمي؛ وقت الملك سليمان")</f>
        <v>&lt;Ahinadab ابن إددو ؛ رسمي؛ وقت الملك سليمان</v>
      </c>
    </row>
    <row r="904" ht="15.75" customHeight="1">
      <c r="A904" s="1" t="s">
        <v>1122</v>
      </c>
      <c r="B904" s="2" t="s">
        <v>1123</v>
      </c>
      <c r="C904" s="2"/>
    </row>
    <row r="905" ht="15.75" customHeight="1">
      <c r="B905" s="2" t="s">
        <v>1124</v>
      </c>
      <c r="C905" s="2" t="s">
        <v>1125</v>
      </c>
    </row>
    <row r="906" ht="15.75" customHeight="1">
      <c r="A906" s="2" t="s">
        <v>4</v>
      </c>
      <c r="B906" s="2" t="str">
        <f>IFERROR(__xludf.DUMMYFUNCTION("CONCAT(""&lt;"",GOOGLETRANSLATE(B905,""en"",""ar""))"),"&lt;Ahinoam")</f>
        <v>&lt;Ahinoam</v>
      </c>
      <c r="C906" s="2" t="str">
        <f>IFERROR(__xludf.DUMMYFUNCTION("CONCAT(""&lt;"",GOOGLETRANSLATE(C905,""en"",""ar""))"),"&lt;(أ) ahinoam ؛ ابنة akimaaz ؛ زوجة شاول (ب) Ahinoam ؛ زوجة ديفيد من Jezreel")</f>
        <v>&lt;(أ) ahinoam ؛ ابنة akimaaz ؛ زوجة شاول (ب) Ahinoam ؛ زوجة ديفيد من Jezreel</v>
      </c>
    </row>
    <row r="907" ht="15.75" customHeight="1">
      <c r="A907" s="1" t="s">
        <v>1126</v>
      </c>
      <c r="B907" s="2" t="s">
        <v>1127</v>
      </c>
      <c r="C907" s="2"/>
    </row>
    <row r="908" ht="15.75" customHeight="1">
      <c r="B908" s="2" t="s">
        <v>1128</v>
      </c>
      <c r="C908" s="2" t="s">
        <v>1129</v>
      </c>
    </row>
    <row r="909" ht="15.75" customHeight="1">
      <c r="A909" s="2" t="s">
        <v>4</v>
      </c>
      <c r="B909" s="2" t="str">
        <f>IFERROR(__xludf.DUMMYFUNCTION("CONCAT(""&lt;"",GOOGLETRANSLATE(B908,""en"",""ar""))"),"&lt;Ahisamach")</f>
        <v>&lt;Ahisamach</v>
      </c>
      <c r="C909" s="2" t="str">
        <f>IFERROR(__xludf.DUMMYFUNCTION("CONCAT(""&lt;"",GOOGLETRANSLATE(C908,""en"",""ar""))"),"&lt;Ahisamach والد أولياب ؛ قبيلة دان")</f>
        <v>&lt;Ahisamach والد أولياب ؛ قبيلة دان</v>
      </c>
    </row>
    <row r="910" ht="15.75" customHeight="1">
      <c r="A910" s="1" t="s">
        <v>1130</v>
      </c>
      <c r="B910" s="2" t="s">
        <v>1131</v>
      </c>
      <c r="C910" s="2"/>
    </row>
    <row r="911" ht="15.75" customHeight="1">
      <c r="B911" s="2" t="s">
        <v>1132</v>
      </c>
      <c r="C911" s="2" t="s">
        <v>1133</v>
      </c>
    </row>
    <row r="912" ht="15.75" customHeight="1">
      <c r="A912" s="2" t="s">
        <v>4</v>
      </c>
      <c r="B912" s="2" t="str">
        <f>IFERROR(__xludf.DUMMYFUNCTION("CONCAT(""&lt;"",GOOGLETRANSLATE(B911,""en"",""ar""))"),"&lt;Ahiezer")</f>
        <v>&lt;Ahiezer</v>
      </c>
      <c r="C912" s="2" t="str">
        <f>IFERROR(__xludf.DUMMYFUNCTION("CONCAT(""&lt;"",GOOGLETRANSLATE(C911,""en"",""ar""))"),"&lt;(أ) أهزر ؛ ابن Ammishaddai ؛ رئيس؛ قبيلة دان وقت موسى (ب) أهزر ؛ رجل؛ قبيلة بنيامين")</f>
        <v>&lt;(أ) أهزر ؛ ابن Ammishaddai ؛ رئيس؛ قبيلة دان وقت موسى (ب) أهزر ؛ رجل؛ قبيلة بنيامين</v>
      </c>
    </row>
    <row r="913" ht="15.75" customHeight="1">
      <c r="A913" s="1" t="s">
        <v>1134</v>
      </c>
      <c r="B913" s="2" t="s">
        <v>1135</v>
      </c>
      <c r="C913" s="2"/>
    </row>
    <row r="914" ht="15.75" customHeight="1">
      <c r="B914" s="2" t="s">
        <v>1136</v>
      </c>
      <c r="C914" s="2" t="s">
        <v>1137</v>
      </c>
    </row>
    <row r="915" ht="15.75" customHeight="1">
      <c r="A915" s="2" t="s">
        <v>4</v>
      </c>
      <c r="B915" s="2" t="str">
        <f>IFERROR(__xludf.DUMMYFUNCTION("CONCAT(""&lt;"",GOOGLETRANSLATE(B914,""en"",""ar""))"),"&lt;أهيكام")</f>
        <v>&lt;أهيكام</v>
      </c>
      <c r="C915" s="2" t="str">
        <f>IFERROR(__xludf.DUMMYFUNCTION("CONCAT(""&lt;"",GOOGLETRANSLATE(C914,""en"",""ar""))"),"&lt;أهيكام نجل شافان. رسمي؛ وقت الملك يوشيا ؛ والد جداليا ، حاكم يهوذا ، زمن المنفى")</f>
        <v>&lt;أهيكام نجل شافان. رسمي؛ وقت الملك يوشيا ؛ والد جداليا ، حاكم يهوذا ، زمن المنفى</v>
      </c>
    </row>
    <row r="916" ht="15.75" customHeight="1">
      <c r="A916" s="1" t="s">
        <v>1138</v>
      </c>
      <c r="B916" s="2" t="s">
        <v>1139</v>
      </c>
      <c r="C916" s="2"/>
    </row>
    <row r="917" ht="15.75" customHeight="1">
      <c r="B917" s="2" t="s">
        <v>1140</v>
      </c>
      <c r="C917" s="2" t="s">
        <v>1141</v>
      </c>
    </row>
    <row r="918" ht="15.75" customHeight="1">
      <c r="A918" s="2" t="s">
        <v>4</v>
      </c>
      <c r="B918" s="2" t="str">
        <f>IFERROR(__xludf.DUMMYFUNCTION("CONCAT(""&lt;"",GOOGLETRANSLATE(B917,""en"",""ar""))"),"&lt;أهيرام")</f>
        <v>&lt;أهيرام</v>
      </c>
      <c r="C918" s="2" t="str">
        <f>IFERROR(__xludf.DUMMYFUNCTION("CONCAT(""&lt;"",GOOGLETRANSLATE(C917,""en"",""ar""))"),"&lt;أهيرام ابن بنيامين")</f>
        <v>&lt;أهيرام ابن بنيامين</v>
      </c>
    </row>
    <row r="919" ht="15.75" customHeight="1">
      <c r="A919" s="1" t="s">
        <v>1142</v>
      </c>
      <c r="B919" s="2" t="s">
        <v>1143</v>
      </c>
      <c r="C919" s="2"/>
    </row>
    <row r="920" ht="15.75" customHeight="1">
      <c r="B920" s="2" t="s">
        <v>1144</v>
      </c>
      <c r="C920" s="2" t="s">
        <v>1145</v>
      </c>
    </row>
    <row r="921" ht="15.75" customHeight="1">
      <c r="A921" s="2" t="s">
        <v>4</v>
      </c>
      <c r="B921" s="2" t="str">
        <f>IFERROR(__xludf.DUMMYFUNCTION("CONCAT(""&lt;"",GOOGLETRANSLATE(B920,""en"",""ar""))"),"&lt;أهيراميت")</f>
        <v>&lt;أهيراميت</v>
      </c>
      <c r="C921" s="2" t="str">
        <f>IFERROR(__xludf.DUMMYFUNCTION("CONCAT(""&lt;"",GOOGLETRANSLATE(C920,""en"",""ar""))"),"&lt;أهيراميت سليل أهيرام ، ابن بنيامين")</f>
        <v>&lt;أهيراميت سليل أهيرام ، ابن بنيامين</v>
      </c>
    </row>
    <row r="922" ht="15.75" customHeight="1">
      <c r="A922" s="1" t="s">
        <v>1146</v>
      </c>
      <c r="B922" s="2" t="s">
        <v>1147</v>
      </c>
      <c r="C922" s="2"/>
    </row>
    <row r="923" ht="15.75" customHeight="1">
      <c r="B923" s="2" t="s">
        <v>1148</v>
      </c>
      <c r="C923" s="2" t="s">
        <v>1149</v>
      </c>
    </row>
    <row r="924" ht="15.75" customHeight="1">
      <c r="A924" s="2" t="s">
        <v>4</v>
      </c>
      <c r="B924" s="2" t="str">
        <f>IFERROR(__xludf.DUMMYFUNCTION("CONCAT(""&lt;"",GOOGLETRANSLATE(B923,""en"",""ar""))"),"&lt;أهيرا")</f>
        <v>&lt;أهيرا</v>
      </c>
      <c r="C924" s="2" t="str">
        <f>IFERROR(__xludf.DUMMYFUNCTION("CONCAT(""&lt;"",GOOGLETRANSLATE(C923,""en"",""ar""))"),"&lt;أهيرا ابن إينان رئيس؛ قبيلة النفتالي ؛ وقت موسى")</f>
        <v>&lt;أهيرا ابن إينان رئيس؛ قبيلة النفتالي ؛ وقت موسى</v>
      </c>
    </row>
    <row r="925" ht="15.75" customHeight="1">
      <c r="A925" s="1" t="s">
        <v>1150</v>
      </c>
      <c r="B925" s="2" t="s">
        <v>1151</v>
      </c>
      <c r="C925" s="2"/>
    </row>
    <row r="926" ht="15.75" customHeight="1">
      <c r="B926" s="2" t="s">
        <v>1152</v>
      </c>
      <c r="C926" s="2" t="s">
        <v>1153</v>
      </c>
    </row>
    <row r="927" ht="15.75" customHeight="1">
      <c r="A927" s="2" t="s">
        <v>4</v>
      </c>
      <c r="B927" s="2" t="str">
        <f>IFERROR(__xludf.DUMMYFUNCTION("CONCAT(""&lt;"",GOOGLETRANSLATE(B926,""en"",""ar""))"),"&lt;ahishahar")</f>
        <v>&lt;ahishahar</v>
      </c>
      <c r="C927" s="2" t="str">
        <f>IFERROR(__xludf.DUMMYFUNCTION("CONCAT(""&lt;"",GOOGLETRANSLATE(C926,""en"",""ar""))"),"&lt;أهيشاهار ابن بيلهان قبيلة بنيامين")</f>
        <v>&lt;أهيشاهار ابن بيلهان قبيلة بنيامين</v>
      </c>
    </row>
    <row r="928" ht="15.75" customHeight="1">
      <c r="A928" s="1" t="s">
        <v>1154</v>
      </c>
      <c r="B928" s="2" t="s">
        <v>1155</v>
      </c>
      <c r="C928" s="2"/>
    </row>
    <row r="929" ht="15.75" customHeight="1">
      <c r="B929" s="2" t="s">
        <v>1156</v>
      </c>
      <c r="C929" s="2" t="s">
        <v>1157</v>
      </c>
    </row>
    <row r="930" ht="15.75" customHeight="1">
      <c r="A930" s="2" t="s">
        <v>4</v>
      </c>
      <c r="B930" s="2" t="str">
        <f>IFERROR(__xludf.DUMMYFUNCTION("CONCAT(""&lt;"",GOOGLETRANSLATE(B929,""en"",""ar""))"),"&lt;آهشار")</f>
        <v>&lt;آهشار</v>
      </c>
      <c r="C930" s="2" t="str">
        <f>IFERROR(__xludf.DUMMYFUNCTION("CONCAT(""&lt;"",GOOGLETRANSLATE(C929,""en"",""ar""))"),"&lt;آهشار رسمي؛ وقت الملك سليمان")</f>
        <v>&lt;آهشار رسمي؛ وقت الملك سليمان</v>
      </c>
    </row>
    <row r="931" ht="15.75" customHeight="1">
      <c r="A931" s="1" t="s">
        <v>1158</v>
      </c>
      <c r="B931" s="2" t="s">
        <v>1159</v>
      </c>
      <c r="C931" s="2"/>
    </row>
    <row r="932" ht="15.75" customHeight="1">
      <c r="B932" s="2" t="s">
        <v>1160</v>
      </c>
      <c r="C932" s="2" t="s">
        <v>1161</v>
      </c>
    </row>
    <row r="933" ht="15.75" customHeight="1">
      <c r="A933" s="2" t="s">
        <v>4</v>
      </c>
      <c r="B933" s="2" t="str">
        <f>IFERROR(__xludf.DUMMYFUNCTION("CONCAT(""&lt;"",GOOGLETRANSLATE(B932,""en"",""ar""))"),"&lt;Ahithophel")</f>
        <v>&lt;Ahithophel</v>
      </c>
      <c r="C933" s="2" t="str">
        <f>IFERROR(__xludf.DUMMYFUNCTION("CONCAT(""&lt;"",GOOGLETRANSLATE(C932,""en"",""ar""))"),"&lt;Ahithophel من جيلوه مستشار الملك داود")</f>
        <v>&lt;Ahithophel من جيلوه مستشار الملك داود</v>
      </c>
    </row>
    <row r="934" ht="15.75" customHeight="1">
      <c r="A934" s="1" t="s">
        <v>1162</v>
      </c>
      <c r="B934" s="2" t="s">
        <v>1163</v>
      </c>
      <c r="C934" s="2"/>
    </row>
    <row r="935" ht="15.75" customHeight="1">
      <c r="B935" s="2" t="s">
        <v>1164</v>
      </c>
      <c r="C935" s="2" t="s">
        <v>1165</v>
      </c>
    </row>
    <row r="936" ht="15.75" customHeight="1">
      <c r="A936" s="2" t="s">
        <v>4</v>
      </c>
      <c r="B936" s="2" t="str">
        <f>IFERROR(__xludf.DUMMYFUNCTION("CONCAT(""&lt;"",GOOGLETRANSLATE(B935,""en"",""ar""))"),"&lt;أهل")</f>
        <v>&lt;أهل</v>
      </c>
      <c r="C936" s="2" t="str">
        <f>IFERROR(__xludf.DUMMYFUNCTION("CONCAT(""&lt;"",GOOGLETRANSLATE(C935,""en"",""ar""))"),"&lt;أهل. بلدة؛ أراضي آشر")</f>
        <v>&lt;أهل. بلدة؛ أراضي آشر</v>
      </c>
    </row>
    <row r="937" ht="15.75" customHeight="1">
      <c r="A937" s="1" t="s">
        <v>1166</v>
      </c>
      <c r="B937" s="2" t="s">
        <v>1167</v>
      </c>
      <c r="C937" s="2"/>
    </row>
    <row r="938" ht="15.75" customHeight="1">
      <c r="B938" s="2" t="s">
        <v>1168</v>
      </c>
      <c r="C938" s="2" t="s">
        <v>1169</v>
      </c>
    </row>
    <row r="939" ht="15.75" customHeight="1">
      <c r="A939" s="2" t="s">
        <v>4</v>
      </c>
      <c r="B939" s="2" t="str">
        <f>IFERROR(__xludf.DUMMYFUNCTION("CONCAT(""&lt;"",GOOGLETRANSLATE(B938,""en"",""ar""))"),"&lt;أهلاي")</f>
        <v>&lt;أهلاي</v>
      </c>
      <c r="C939" s="2" t="str">
        <f>IFERROR(__xludf.DUMMYFUNCTION("CONCAT(""&lt;"",GOOGLETRANSLATE(C938,""en"",""ar""))"),"&lt;(أ) أهلاي ؛ نسل Jerahmeel ؛ قبيلة يهوذا (ب) أهلاي ؛ والد زاباد ، محارب ، وقت الملك داود")</f>
        <v>&lt;(أ) أهلاي ؛ نسل Jerahmeel ؛ قبيلة يهوذا (ب) أهلاي ؛ والد زاباد ، محارب ، وقت الملك داود</v>
      </c>
    </row>
    <row r="940" ht="15.75" customHeight="1">
      <c r="A940" s="1" t="s">
        <v>1170</v>
      </c>
      <c r="B940" s="2" t="s">
        <v>1171</v>
      </c>
      <c r="C940" s="2"/>
    </row>
    <row r="941" ht="15.75" customHeight="1">
      <c r="B941" s="2" t="s">
        <v>1172</v>
      </c>
      <c r="C941" s="2" t="s">
        <v>1173</v>
      </c>
    </row>
    <row r="942" ht="15.75" customHeight="1">
      <c r="A942" s="2" t="s">
        <v>4</v>
      </c>
      <c r="B942" s="2" t="str">
        <f>IFERROR(__xludf.DUMMYFUNCTION("CONCAT(""&lt;"",GOOGLETRANSLATE(B941,""en"",""ar""))"),"&lt;يا ذلك!")</f>
        <v>&lt;يا ذلك!</v>
      </c>
      <c r="C942" s="2" t="str">
        <f>IFERROR(__xludf.DUMMYFUNCTION("CONCAT(""&lt;"",GOOGLETRANSLATE(C941,""en"",""ar""))"),"&lt;التدخل للأسف ؛ ليت!")</f>
        <v>&lt;التدخل للأسف ؛ ليت!</v>
      </c>
    </row>
    <row r="943" ht="15.75" customHeight="1">
      <c r="A943" s="1" t="s">
        <v>1174</v>
      </c>
      <c r="B943" s="2" t="s">
        <v>1175</v>
      </c>
      <c r="C943" s="2"/>
    </row>
    <row r="944" ht="15.75" customHeight="1">
      <c r="B944" s="2" t="s">
        <v>1176</v>
      </c>
      <c r="C944" s="2" t="s">
        <v>1177</v>
      </c>
    </row>
    <row r="945" ht="15.75" customHeight="1">
      <c r="A945" s="2" t="s">
        <v>4</v>
      </c>
      <c r="B945" s="2" t="str">
        <f>IFERROR(__xludf.DUMMYFUNCTION("CONCAT(""&lt;"",GOOGLETRANSLATE(B944,""en"",""ar""))"),"&lt;جمشت")</f>
        <v>&lt;جمشت</v>
      </c>
      <c r="C945" s="2" t="str">
        <f>IFERROR(__xludf.DUMMYFUNCTION("CONCAT(""&lt;"",GOOGLETRANSLATE(C944,""en"",""ar""))"),"&lt;حجر ثمين KB Neb Jasper ؛ LXX Amethystos ؛ RSV JB TEV NIV Amethyst")</f>
        <v>&lt;حجر ثمين KB Neb Jasper ؛ LXX Amethystos ؛ RSV JB TEV NIV Amethyst</v>
      </c>
    </row>
    <row r="946" ht="15.75" customHeight="1">
      <c r="A946" s="1" t="s">
        <v>1178</v>
      </c>
      <c r="B946" s="2" t="s">
        <v>1179</v>
      </c>
      <c r="C946" s="2"/>
    </row>
    <row r="947" ht="15.75" customHeight="1">
      <c r="B947" s="2" t="s">
        <v>1180</v>
      </c>
      <c r="C947" s="2" t="s">
        <v>1181</v>
      </c>
    </row>
    <row r="948" ht="15.75" customHeight="1">
      <c r="A948" s="2" t="s">
        <v>4</v>
      </c>
      <c r="B948" s="2" t="str">
        <f>IFERROR(__xludf.DUMMYFUNCTION("CONCAT(""&lt;"",GOOGLETRANSLATE(B947,""en"",""ar""))"),"&lt;ecbatana")</f>
        <v>&lt;ecbatana</v>
      </c>
      <c r="C948" s="2" t="str">
        <f>IFERROR(__xludf.DUMMYFUNCTION("CONCAT(""&lt;"",GOOGLETRANSLATE(C947,""en"",""ar""))"),"&lt;Ecbatana بلدة؛ في وسائل الإعلام")</f>
        <v>&lt;Ecbatana بلدة؛ في وسائل الإعلام</v>
      </c>
    </row>
    <row r="949" ht="15.75" customHeight="1">
      <c r="A949" s="1" t="s">
        <v>1182</v>
      </c>
      <c r="B949" s="2" t="s">
        <v>1183</v>
      </c>
      <c r="C949" s="2"/>
    </row>
    <row r="950" ht="15.75" customHeight="1">
      <c r="B950" s="2" t="s">
        <v>1184</v>
      </c>
      <c r="C950" s="2" t="s">
        <v>1185</v>
      </c>
    </row>
    <row r="951" ht="15.75" customHeight="1">
      <c r="A951" s="2" t="s">
        <v>4</v>
      </c>
      <c r="B951" s="2" t="str">
        <f>IFERROR(__xludf.DUMMYFUNCTION("CONCAT(""&lt;"",GOOGLETRANSLATE(B950,""en"",""ar""))"),"&lt;Ahasbai")</f>
        <v>&lt;Ahasbai</v>
      </c>
      <c r="C951" s="2" t="str">
        <f>IFERROR(__xludf.DUMMYFUNCTION("CONCAT(""&lt;"",GOOGLETRANSLATE(C950,""en"",""ar""))"),"&lt;ahasbai من مااكاه محارب؛ وقت الملك داود")</f>
        <v>&lt;ahasbai من مااكاه محارب؛ وقت الملك داود</v>
      </c>
    </row>
    <row r="952" ht="15.75" customHeight="1">
      <c r="A952" s="1" t="s">
        <v>1186</v>
      </c>
      <c r="B952" s="2" t="s">
        <v>1187</v>
      </c>
      <c r="C952" s="2"/>
    </row>
    <row r="953" ht="15.75" customHeight="1">
      <c r="B953" s="2" t="s">
        <v>1188</v>
      </c>
    </row>
    <row r="954" ht="15.75" customHeight="1">
      <c r="A954" s="2" t="s">
        <v>4</v>
      </c>
      <c r="B954" s="2" t="str">
        <f>IFERROR(__xludf.DUMMYFUNCTION("CONCAT(""&lt;"",GOOGLETRANSLATE(B953,""en"",""ar""))"),"&lt;للتأخير")</f>
        <v>&lt;للتأخير</v>
      </c>
      <c r="C954" s="2"/>
    </row>
    <row r="955" ht="15.75" customHeight="1">
      <c r="A955" s="1" t="s">
        <v>1189</v>
      </c>
      <c r="B955" s="2" t="s">
        <v>1190</v>
      </c>
      <c r="C955" s="2"/>
    </row>
    <row r="956" ht="15.75" customHeight="1">
      <c r="B956" s="2" t="s">
        <v>1191</v>
      </c>
      <c r="C956" s="2" t="s">
        <v>1192</v>
      </c>
    </row>
    <row r="957" ht="15.75" customHeight="1">
      <c r="A957" s="2" t="s">
        <v>4</v>
      </c>
      <c r="B957" s="2" t="str">
        <f>IFERROR(__xludf.DUMMYFUNCTION("CONCAT(""&lt;"",GOOGLETRANSLATE(B956,""en"",""ar""))"),"&lt;بعد")</f>
        <v>&lt;بعد</v>
      </c>
      <c r="C957" s="2" t="str">
        <f>IFERROR(__xludf.DUMMYFUNCTION("CONCAT(""&lt;"",GOOGLETRANSLATE(C956,""en"",""ar""))"),"&lt;وراء ، بعد")</f>
        <v>&lt;وراء ، بعد</v>
      </c>
    </row>
    <row r="958" ht="15.75" customHeight="1">
      <c r="A958" s="1" t="s">
        <v>1193</v>
      </c>
      <c r="B958" s="2" t="s">
        <v>1194</v>
      </c>
      <c r="C958" s="2"/>
    </row>
    <row r="959" ht="15.75" customHeight="1">
      <c r="B959" s="2" t="s">
        <v>1195</v>
      </c>
      <c r="C959" s="2" t="s">
        <v>1195</v>
      </c>
    </row>
    <row r="960" ht="15.75" customHeight="1">
      <c r="A960" s="2" t="s">
        <v>4</v>
      </c>
      <c r="B960" s="2" t="str">
        <f>IFERROR(__xludf.DUMMYFUNCTION("CONCAT(""&lt;"",GOOGLETRANSLATE(B959,""en"",""ar""))"),"&lt;للخلف")</f>
        <v>&lt;للخلف</v>
      </c>
      <c r="C960" s="2" t="str">
        <f>IFERROR(__xludf.DUMMYFUNCTION("CONCAT(""&lt;"",GOOGLETRANSLATE(C959,""en"",""ar""))"),"&lt;للخلف")</f>
        <v>&lt;للخلف</v>
      </c>
    </row>
    <row r="961" ht="15.75" customHeight="1">
      <c r="A961" s="1" t="s">
        <v>1196</v>
      </c>
      <c r="B961" s="2" t="s">
        <v>1197</v>
      </c>
      <c r="C961" s="2"/>
    </row>
    <row r="962" ht="15.75" customHeight="1">
      <c r="B962" s="2" t="s">
        <v>1191</v>
      </c>
      <c r="C962" s="2" t="s">
        <v>1192</v>
      </c>
    </row>
    <row r="963" ht="15.75" customHeight="1">
      <c r="A963" s="2" t="s">
        <v>4</v>
      </c>
      <c r="B963" s="2" t="str">
        <f>IFERROR(__xludf.DUMMYFUNCTION("CONCAT(""&lt;"",GOOGLETRANSLATE(B962,""en"",""ar""))"),"&lt;بعد")</f>
        <v>&lt;بعد</v>
      </c>
      <c r="C963" s="2" t="str">
        <f>IFERROR(__xludf.DUMMYFUNCTION("CONCAT(""&lt;"",GOOGLETRANSLATE(C962,""en"",""ar""))"),"&lt;وراء ، بعد")</f>
        <v>&lt;وراء ، بعد</v>
      </c>
    </row>
    <row r="964" ht="15.75" customHeight="1">
      <c r="A964" s="1" t="s">
        <v>1198</v>
      </c>
      <c r="B964" s="2" t="s">
        <v>1199</v>
      </c>
      <c r="C964" s="2"/>
    </row>
    <row r="965" ht="15.75" customHeight="1">
      <c r="B965" s="2" t="s">
        <v>1200</v>
      </c>
      <c r="C965" s="2" t="s">
        <v>1201</v>
      </c>
    </row>
    <row r="966" ht="15.75" customHeight="1">
      <c r="A966" s="2" t="s">
        <v>4</v>
      </c>
      <c r="B966" s="2" t="str">
        <f>IFERROR(__xludf.DUMMYFUNCTION("CONCAT(""&lt;"",GOOGLETRANSLATE(B965,""en"",""ar""))"),"&lt;آخر")</f>
        <v>&lt;آخر</v>
      </c>
      <c r="C966" s="2" t="str">
        <f>IFERROR(__xludf.DUMMYFUNCTION("CONCAT(""&lt;"",GOOGLETRANSLATE(C965,""en"",""ar""))"),"&lt;آخر")</f>
        <v>&lt;آخر</v>
      </c>
    </row>
    <row r="967" ht="15.75" customHeight="1">
      <c r="A967" s="1" t="s">
        <v>1202</v>
      </c>
      <c r="B967" s="2" t="s">
        <v>1203</v>
      </c>
      <c r="C967" s="2"/>
    </row>
    <row r="968" ht="15.75" customHeight="1">
      <c r="B968" s="2" t="s">
        <v>1204</v>
      </c>
      <c r="C968" s="2" t="s">
        <v>1204</v>
      </c>
    </row>
    <row r="969" ht="15.75" customHeight="1">
      <c r="A969" s="2" t="s">
        <v>4</v>
      </c>
      <c r="B969" s="2" t="str">
        <f>IFERROR(__xludf.DUMMYFUNCTION("CONCAT(""&lt;"",GOOGLETRANSLATE(B968,""en"",""ar""))"),"&lt;أهر")</f>
        <v>&lt;أهر</v>
      </c>
      <c r="C969" s="2" t="str">
        <f>IFERROR(__xludf.DUMMYFUNCTION("CONCAT(""&lt;"",GOOGLETRANSLATE(C968,""en"",""ar""))"),"&lt;أهر")</f>
        <v>&lt;أهر</v>
      </c>
    </row>
    <row r="970" ht="15.75" customHeight="1">
      <c r="A970" s="1" t="s">
        <v>1205</v>
      </c>
      <c r="B970" s="2" t="s">
        <v>1206</v>
      </c>
      <c r="C970" s="2"/>
    </row>
    <row r="971" ht="15.75" customHeight="1">
      <c r="B971" s="2" t="s">
        <v>1207</v>
      </c>
      <c r="C971" s="2" t="s">
        <v>1208</v>
      </c>
    </row>
    <row r="972" ht="15.75" customHeight="1">
      <c r="A972" s="2" t="s">
        <v>4</v>
      </c>
      <c r="B972" s="2" t="str">
        <f>IFERROR(__xludf.DUMMYFUNCTION("CONCAT(""&lt;"",GOOGLETRANSLATE(B971,""en"",""ar""))"),"&lt;آخر")</f>
        <v>&lt;آخر</v>
      </c>
      <c r="C972" s="2" t="str">
        <f>IFERROR(__xludf.DUMMYFUNCTION("CONCAT(""&lt;"",GOOGLETRANSLATE(C971,""en"",""ar""))"),"&lt;(أ) QAL للبقاء على ؛ (ب) بي. للتأخر ، البقاء ؛ (ج) HIF. ليشتاق")</f>
        <v>&lt;(أ) QAL للبقاء على ؛ (ب) بي. للتأخر ، البقاء ؛ (ج) HIF. ليشتاق</v>
      </c>
    </row>
    <row r="973" ht="15.75" customHeight="1">
      <c r="A973" s="1" t="s">
        <v>1209</v>
      </c>
      <c r="B973" s="2" t="s">
        <v>1210</v>
      </c>
      <c r="C973" s="2"/>
    </row>
    <row r="974" ht="15.75" customHeight="1">
      <c r="B974" s="2" t="s">
        <v>1211</v>
      </c>
      <c r="C974" s="2" t="s">
        <v>1212</v>
      </c>
    </row>
    <row r="975" ht="15.75" customHeight="1">
      <c r="A975" s="2" t="s">
        <v>4</v>
      </c>
      <c r="B975" s="2" t="str">
        <f>IFERROR(__xludf.DUMMYFUNCTION("CONCAT(""&lt;"",GOOGLETRANSLATE(B974,""en"",""ar""))"),"&lt;أحرة")</f>
        <v>&lt;أحرة</v>
      </c>
      <c r="C975" s="2" t="str">
        <f>IFERROR(__xludf.DUMMYFUNCTION("CONCAT(""&lt;"",GOOGLETRANSLATE(C974,""en"",""ar""))"),"&lt;أحرة ابن بنيامين")</f>
        <v>&lt;أحرة ابن بنيامين</v>
      </c>
    </row>
    <row r="976" ht="15.75" customHeight="1">
      <c r="A976" s="1" t="s">
        <v>1213</v>
      </c>
      <c r="B976" s="2" t="s">
        <v>1214</v>
      </c>
      <c r="C976" s="2"/>
    </row>
    <row r="977" ht="15.75" customHeight="1">
      <c r="B977" s="2" t="s">
        <v>1215</v>
      </c>
      <c r="C977" s="2" t="s">
        <v>1216</v>
      </c>
    </row>
    <row r="978" ht="15.75" customHeight="1">
      <c r="A978" s="2" t="s">
        <v>4</v>
      </c>
      <c r="B978" s="2" t="str">
        <f>IFERROR(__xludf.DUMMYFUNCTION("CONCAT(""&lt;"",GOOGLETRANSLATE(B977,""en"",""ar""))"),"&lt;أهارهيل")</f>
        <v>&lt;أهارهيل</v>
      </c>
      <c r="C978" s="2" t="str">
        <f>IFERROR(__xludf.DUMMYFUNCTION("CONCAT(""&lt;"",GOOGLETRANSLATE(C977,""en"",""ar""))"),"&lt;أهارهيل ابن هاروم قبيلة يهوذا")</f>
        <v>&lt;أهارهيل ابن هاروم قبيلة يهوذا</v>
      </c>
    </row>
    <row r="979" ht="15.75" customHeight="1">
      <c r="A979" s="1" t="s">
        <v>1217</v>
      </c>
      <c r="B979" s="2" t="s">
        <v>1218</v>
      </c>
      <c r="C979" s="2"/>
    </row>
    <row r="980" ht="15.75" customHeight="1">
      <c r="B980" s="2" t="s">
        <v>1200</v>
      </c>
      <c r="C980" s="2" t="s">
        <v>1201</v>
      </c>
    </row>
    <row r="981" ht="15.75" customHeight="1">
      <c r="A981" s="2" t="s">
        <v>4</v>
      </c>
      <c r="B981" s="2" t="str">
        <f>IFERROR(__xludf.DUMMYFUNCTION("CONCAT(""&lt;"",GOOGLETRANSLATE(B980,""en"",""ar""))"),"&lt;آخر")</f>
        <v>&lt;آخر</v>
      </c>
      <c r="C981" s="2" t="str">
        <f>IFERROR(__xludf.DUMMYFUNCTION("CONCAT(""&lt;"",GOOGLETRANSLATE(C980,""en"",""ar""))"),"&lt;آخر")</f>
        <v>&lt;آخر</v>
      </c>
    </row>
    <row r="982" ht="15.75" customHeight="1">
      <c r="A982" s="1" t="s">
        <v>1219</v>
      </c>
      <c r="B982" s="2" t="s">
        <v>1220</v>
      </c>
      <c r="C982" s="2"/>
    </row>
    <row r="983" ht="15.75" customHeight="1">
      <c r="B983" s="2" t="s">
        <v>1221</v>
      </c>
    </row>
    <row r="984" ht="15.75" customHeight="1">
      <c r="A984" s="2" t="s">
        <v>4</v>
      </c>
      <c r="B984" s="2" t="str">
        <f>IFERROR(__xludf.DUMMYFUNCTION("CONCAT(""&lt;"",GOOGLETRANSLATE(B983,""en"",""ar""))"),"&lt;أخيراً")</f>
        <v>&lt;أخيراً</v>
      </c>
      <c r="C984" s="2"/>
    </row>
    <row r="985" ht="15.75" customHeight="1">
      <c r="A985" s="1" t="s">
        <v>1222</v>
      </c>
      <c r="B985" s="2" t="s">
        <v>1223</v>
      </c>
      <c r="C985" s="2"/>
    </row>
    <row r="986" ht="15.75" customHeight="1">
      <c r="B986" s="2" t="s">
        <v>1224</v>
      </c>
      <c r="C986" s="2" t="s">
        <v>1225</v>
      </c>
    </row>
    <row r="987" ht="15.75" customHeight="1">
      <c r="A987" s="2" t="s">
        <v>4</v>
      </c>
      <c r="B987" s="2" t="str">
        <f>IFERROR(__xludf.DUMMYFUNCTION("CONCAT(""&lt;"",GOOGLETRANSLATE(B986,""en"",""ar""))"),"&lt;نهاية")</f>
        <v>&lt;نهاية</v>
      </c>
      <c r="C987" s="2" t="str">
        <f>IFERROR(__xludf.DUMMYFUNCTION("CONCAT(""&lt;"",GOOGLETRANSLATE(C986,""en"",""ar""))"),"&lt;مستقبل")</f>
        <v>&lt;مستقبل</v>
      </c>
    </row>
    <row r="988" ht="15.75" customHeight="1">
      <c r="A988" s="1" t="s">
        <v>1226</v>
      </c>
      <c r="B988" s="2" t="s">
        <v>1227</v>
      </c>
      <c r="C988" s="2"/>
    </row>
    <row r="989" ht="15.75" customHeight="1">
      <c r="B989" s="2" t="s">
        <v>1228</v>
      </c>
      <c r="C989" s="2" t="s">
        <v>1229</v>
      </c>
    </row>
    <row r="990" ht="15.75" customHeight="1">
      <c r="A990" s="2" t="s">
        <v>4</v>
      </c>
      <c r="B990" s="2" t="str">
        <f>IFERROR(__xludf.DUMMYFUNCTION("CONCAT(""&lt;"",GOOGLETRANSLATE(B989,""en"",""ar""))"),"&lt;أخير")</f>
        <v>&lt;أخير</v>
      </c>
      <c r="C990" s="2" t="str">
        <f>IFERROR(__xludf.DUMMYFUNCTION("CONCAT(""&lt;"",GOOGLETRANSLATE(C989,""en"",""ar""))"),"&lt;نهاية ، القضية ؛ بقية")</f>
        <v>&lt;نهاية ، القضية ؛ بقية</v>
      </c>
    </row>
    <row r="991" ht="15.75" customHeight="1">
      <c r="A991" s="1" t="s">
        <v>1230</v>
      </c>
      <c r="B991" s="2" t="s">
        <v>1218</v>
      </c>
      <c r="C991" s="2"/>
    </row>
    <row r="992" ht="15.75" customHeight="1">
      <c r="B992" s="2" t="s">
        <v>1200</v>
      </c>
      <c r="C992" s="2" t="s">
        <v>1201</v>
      </c>
    </row>
    <row r="993" ht="15.75" customHeight="1">
      <c r="A993" s="2" t="s">
        <v>4</v>
      </c>
      <c r="B993" s="2" t="str">
        <f>IFERROR(__xludf.DUMMYFUNCTION("CONCAT(""&lt;"",GOOGLETRANSLATE(B992,""en"",""ar""))"),"&lt;آخر")</f>
        <v>&lt;آخر</v>
      </c>
      <c r="C993" s="2" t="str">
        <f>IFERROR(__xludf.DUMMYFUNCTION("CONCAT(""&lt;"",GOOGLETRANSLATE(C992,""en"",""ar""))"),"&lt;آخر")</f>
        <v>&lt;آخر</v>
      </c>
    </row>
    <row r="994" ht="15.75" customHeight="1">
      <c r="A994" s="1" t="s">
        <v>1231</v>
      </c>
      <c r="B994" s="2" t="s">
        <v>1232</v>
      </c>
      <c r="C994" s="2"/>
    </row>
    <row r="995" ht="15.75" customHeight="1">
      <c r="B995" s="2" t="s">
        <v>1195</v>
      </c>
      <c r="C995" s="2" t="s">
        <v>1195</v>
      </c>
    </row>
    <row r="996" ht="15.75" customHeight="1">
      <c r="A996" s="2" t="s">
        <v>4</v>
      </c>
      <c r="B996" s="2" t="str">
        <f>IFERROR(__xludf.DUMMYFUNCTION("CONCAT(""&lt;"",GOOGLETRANSLATE(B995,""en"",""ar""))"),"&lt;للخلف")</f>
        <v>&lt;للخلف</v>
      </c>
      <c r="C996" s="2" t="str">
        <f>IFERROR(__xludf.DUMMYFUNCTION("CONCAT(""&lt;"",GOOGLETRANSLATE(C995,""en"",""ar""))"),"&lt;للخلف")</f>
        <v>&lt;للخلف</v>
      </c>
    </row>
    <row r="997" ht="15.75" customHeight="1">
      <c r="A997" s="1" t="s">
        <v>1233</v>
      </c>
      <c r="B997" s="2" t="s">
        <v>1234</v>
      </c>
      <c r="C997" s="2"/>
    </row>
    <row r="998" ht="15.75" customHeight="1">
      <c r="B998" s="2" t="s">
        <v>1235</v>
      </c>
      <c r="C998" s="2" t="s">
        <v>1235</v>
      </c>
    </row>
    <row r="999" ht="15.75" customHeight="1">
      <c r="A999" s="2" t="s">
        <v>4</v>
      </c>
      <c r="B999" s="2" t="str">
        <f>IFERROR(__xludf.DUMMYFUNCTION("CONCAT(""&lt;"",GOOGLETRANSLATE(B998,""en"",""ar""))"),"&lt;Satrap")</f>
        <v>&lt;Satrap</v>
      </c>
      <c r="C999" s="2" t="str">
        <f>IFERROR(__xludf.DUMMYFUNCTION("CONCAT(""&lt;"",GOOGLETRANSLATE(C998,""en"",""ar""))"),"&lt;Satrap")</f>
        <v>&lt;Satrap</v>
      </c>
    </row>
    <row r="1000" ht="15.75" customHeight="1">
      <c r="A1000" s="1" t="s">
        <v>1236</v>
      </c>
      <c r="B1000" s="2" t="s">
        <v>1234</v>
      </c>
      <c r="C1000" s="2"/>
    </row>
    <row r="1001" ht="15.75" customHeight="1">
      <c r="B1001" s="2" t="s">
        <v>1235</v>
      </c>
      <c r="C1001" s="2" t="s">
        <v>1235</v>
      </c>
    </row>
    <row r="1002" ht="15.75" customHeight="1">
      <c r="A1002" s="2" t="s">
        <v>4</v>
      </c>
      <c r="B1002" s="2" t="str">
        <f>IFERROR(__xludf.DUMMYFUNCTION("CONCAT(""&lt;"",GOOGLETRANSLATE(B1001,""en"",""ar""))"),"&lt;Satrap")</f>
        <v>&lt;Satrap</v>
      </c>
      <c r="C1002" s="2" t="str">
        <f>IFERROR(__xludf.DUMMYFUNCTION("CONCAT(""&lt;"",GOOGLETRANSLATE(C1001,""en"",""ar""))"),"&lt;Satrap")</f>
        <v>&lt;Satrap</v>
      </c>
    </row>
    <row r="1003" ht="15.75" customHeight="1">
      <c r="A1003" s="1" t="s">
        <v>1237</v>
      </c>
      <c r="B1003" s="2" t="s">
        <v>1238</v>
      </c>
      <c r="C1003" s="2"/>
    </row>
    <row r="1004" ht="15.75" customHeight="1">
      <c r="B1004" s="2" t="s">
        <v>1239</v>
      </c>
      <c r="C1004" s="2" t="s">
        <v>1240</v>
      </c>
    </row>
    <row r="1005" ht="15.75" customHeight="1">
      <c r="A1005" s="2" t="s">
        <v>4</v>
      </c>
      <c r="B1005" s="2" t="str">
        <f>IFERROR(__xludf.DUMMYFUNCTION("CONCAT(""&lt;"",GOOGLETRANSLATE(B1004,""en"",""ar""))"),"&lt;Ahasuerus")</f>
        <v>&lt;Ahasuerus</v>
      </c>
      <c r="C1005" s="2" t="str">
        <f>IFERROR(__xludf.DUMMYFUNCTION("CONCAT(""&lt;"",GOOGLETRANSLATE(C1004,""en"",""ar""))"),"&lt;Ahasuerus ، Xerxes ؛ ملك بلاد فارس")</f>
        <v>&lt;Ahasuerus ، Xerxes ؛ ملك بلاد فارس</v>
      </c>
    </row>
    <row r="1006" ht="15.75" customHeight="1">
      <c r="A1006" s="1" t="s">
        <v>1241</v>
      </c>
      <c r="B1006" s="2" t="s">
        <v>1242</v>
      </c>
      <c r="C1006" s="2"/>
    </row>
    <row r="1007" ht="15.75" customHeight="1">
      <c r="B1007" s="2" t="s">
        <v>1243</v>
      </c>
      <c r="C1007" s="2" t="s">
        <v>1244</v>
      </c>
    </row>
    <row r="1008" ht="15.75" customHeight="1">
      <c r="A1008" s="2" t="s">
        <v>4</v>
      </c>
      <c r="B1008" s="2" t="str">
        <f>IFERROR(__xludf.DUMMYFUNCTION("CONCAT(""&lt;"",GOOGLETRANSLATE(B1007,""en"",""ar""))"),"&lt;هااهشتاري")</f>
        <v>&lt;هااهشتاري</v>
      </c>
      <c r="C1008" s="2" t="str">
        <f>IFERROR(__xludf.DUMMYFUNCTION("CONCAT(""&lt;"",GOOGLETRANSLATE(C1007,""en"",""ar""))"),"&lt;Haahashtari ابن أشور قبيلة يهوذا")</f>
        <v>&lt;Haahashtari ابن أشور قبيلة يهوذا</v>
      </c>
    </row>
    <row r="1009" ht="15.75" customHeight="1">
      <c r="A1009" s="1" t="s">
        <v>1245</v>
      </c>
      <c r="B1009" s="2" t="s">
        <v>1246</v>
      </c>
      <c r="C1009" s="2"/>
    </row>
    <row r="1010" ht="15.75" customHeight="1">
      <c r="B1010" s="2" t="s">
        <v>1247</v>
      </c>
    </row>
    <row r="1011" ht="15.75" customHeight="1">
      <c r="A1011" s="2" t="s">
        <v>4</v>
      </c>
      <c r="B1011" s="2" t="str">
        <f>IFERROR(__xludf.DUMMYFUNCTION("CONCAT(""&lt;"",GOOGLETRANSLATE(B1010,""en"",""ar""))"),"&lt;فرس")</f>
        <v>&lt;فرس</v>
      </c>
      <c r="C1011" s="2"/>
    </row>
    <row r="1012" ht="15.75" customHeight="1">
      <c r="A1012" s="1" t="s">
        <v>1248</v>
      </c>
      <c r="B1012" s="2" t="s">
        <v>1249</v>
      </c>
      <c r="C1012" s="2"/>
    </row>
    <row r="1013" ht="15.75" customHeight="1">
      <c r="B1013" s="2" t="s">
        <v>1250</v>
      </c>
      <c r="C1013" s="2" t="s">
        <v>1251</v>
      </c>
    </row>
    <row r="1014" ht="15.75" customHeight="1">
      <c r="A1014" s="2" t="s">
        <v>4</v>
      </c>
      <c r="B1014" s="2" t="str">
        <f>IFERROR(__xludf.DUMMYFUNCTION("CONCAT(""&lt;"",GOOGLETRANSLATE(B1013,""en"",""ar""))"),"&lt;موتر")</f>
        <v>&lt;موتر</v>
      </c>
      <c r="C1014" s="2" t="str">
        <f>IFERROR(__xludf.DUMMYFUNCTION("CONCAT(""&lt;"",GOOGLETRANSLATE(C1013,""en"",""ar""))"),"&lt;مستحضرات الأرواح")</f>
        <v>&lt;مستحضرات الأرواح</v>
      </c>
    </row>
    <row r="1015" ht="15.75" customHeight="1">
      <c r="A1015" s="1" t="s">
        <v>1252</v>
      </c>
      <c r="B1015" s="2" t="s">
        <v>1253</v>
      </c>
      <c r="C1015" s="2"/>
    </row>
    <row r="1016" ht="15.75" customHeight="1">
      <c r="B1016" s="2" t="s">
        <v>1254</v>
      </c>
      <c r="C1016" s="2" t="s">
        <v>1255</v>
      </c>
    </row>
    <row r="1017" ht="15.75" customHeight="1">
      <c r="A1017" s="2" t="s">
        <v>4</v>
      </c>
      <c r="B1017" s="2" t="str">
        <f>IFERROR(__xludf.DUMMYFUNCTION("CONCAT(""&lt;"",GOOGLETRANSLATE(B1016,""en"",""ar""))"),"&lt;بهدوء")</f>
        <v>&lt;بهدوء</v>
      </c>
      <c r="C1017" s="2" t="str">
        <f>IFERROR(__xludf.DUMMYFUNCTION("CONCAT(""&lt;"",GOOGLETRANSLATE(C1016,""en"",""ar""))"),"&lt;لطيف")</f>
        <v>&lt;لطيف</v>
      </c>
    </row>
    <row r="1018" ht="15.75" customHeight="1">
      <c r="A1018" s="1" t="s">
        <v>1256</v>
      </c>
      <c r="B1018" s="2" t="s">
        <v>1257</v>
      </c>
      <c r="C1018" s="2"/>
    </row>
    <row r="1019" ht="15.75" customHeight="1">
      <c r="B1019" s="2" t="s">
        <v>1258</v>
      </c>
      <c r="C1019" s="2" t="s">
        <v>1259</v>
      </c>
    </row>
    <row r="1020" ht="15.75" customHeight="1">
      <c r="A1020" s="2" t="s">
        <v>4</v>
      </c>
      <c r="B1020" s="2" t="str">
        <f>IFERROR(__xludf.DUMMYFUNCTION("CONCAT(""&lt;"",GOOGLETRANSLATE(B1019,""en"",""ar""))"),"&lt;برامبل")</f>
        <v>&lt;برامبل</v>
      </c>
      <c r="C1020" s="2" t="str">
        <f>IFERROR(__xludf.DUMMYFUNCTION("CONCAT(""&lt;"",GOOGLETRANSLATE(C1019,""en"",""ar""))"),"&lt;(1) شوكة ، ثيسل ، براير ؛ (2) أتاد ؛ موقع")</f>
        <v>&lt;(1) شوكة ، ثيسل ، براير ؛ (2) أتاد ؛ موقع</v>
      </c>
    </row>
    <row r="1021" ht="15.75" customHeight="1">
      <c r="A1021" s="1" t="s">
        <v>1260</v>
      </c>
      <c r="B1021" s="2" t="s">
        <v>1261</v>
      </c>
      <c r="C1021" s="2"/>
    </row>
    <row r="1022" ht="15.75" customHeight="1">
      <c r="B1022" s="2" t="s">
        <v>1262</v>
      </c>
      <c r="C1022" s="2" t="s">
        <v>1263</v>
      </c>
    </row>
    <row r="1023" ht="15.75" customHeight="1">
      <c r="A1023" s="2" t="s">
        <v>4</v>
      </c>
      <c r="B1023" s="2" t="str">
        <f>IFERROR(__xludf.DUMMYFUNCTION("CONCAT(""&lt;"",GOOGLETRANSLATE(B1022,""en"",""ar""))"),"&lt;كوفية من الكتان")</f>
        <v>&lt;كوفية من الكتان</v>
      </c>
      <c r="C1023" s="2" t="str">
        <f>IFERROR(__xludf.DUMMYFUNCTION("CONCAT(""&lt;"",GOOGLETRANSLATE(C1022,""en"",""ar""))"),"&lt;الكتان الكتان")</f>
        <v>&lt;الكتان الكتان</v>
      </c>
    </row>
    <row r="1024" ht="15.75" customHeight="1">
      <c r="A1024" s="1" t="s">
        <v>1264</v>
      </c>
      <c r="B1024" s="2" t="s">
        <v>1265</v>
      </c>
      <c r="C1024" s="2"/>
    </row>
    <row r="1025" ht="15.75" customHeight="1">
      <c r="B1025" s="2" t="s">
        <v>1266</v>
      </c>
      <c r="C1025" s="2" t="s">
        <v>1267</v>
      </c>
    </row>
    <row r="1026" ht="15.75" customHeight="1">
      <c r="A1026" s="2" t="s">
        <v>4</v>
      </c>
      <c r="B1026" s="2" t="str">
        <f>IFERROR(__xludf.DUMMYFUNCTION("CONCAT(""&lt;"",GOOGLETRANSLATE(B1025,""en"",""ar""))"),"&lt;إلى الغالق")</f>
        <v>&lt;إلى الغالق</v>
      </c>
      <c r="C1026" s="2" t="str">
        <f>IFERROR(__xludf.DUMMYFUNCTION("CONCAT(""&lt;"",GOOGLETRANSLATE(C1025,""en"",""ar""))"),"&lt;QAL لإغلاق")</f>
        <v>&lt;QAL لإغلاق</v>
      </c>
    </row>
    <row r="1027" ht="15.75" customHeight="1">
      <c r="A1027" s="1" t="s">
        <v>1268</v>
      </c>
      <c r="B1027" s="2" t="s">
        <v>1269</v>
      </c>
      <c r="C1027" s="2"/>
    </row>
    <row r="1028" ht="15.75" customHeight="1">
      <c r="B1028" s="2" t="s">
        <v>1270</v>
      </c>
      <c r="C1028" s="2" t="s">
        <v>1271</v>
      </c>
    </row>
    <row r="1029" ht="15.75" customHeight="1">
      <c r="A1029" s="2" t="s">
        <v>4</v>
      </c>
      <c r="B1029" s="2" t="str">
        <f>IFERROR(__xludf.DUMMYFUNCTION("CONCAT(""&lt;"",GOOGLETRANSLATE(B1028,""en"",""ar""))"),"&lt;لاغلاق")</f>
        <v>&lt;لاغلاق</v>
      </c>
      <c r="C1029" s="2" t="str">
        <f>IFERROR(__xludf.DUMMYFUNCTION("CONCAT(""&lt;"",GOOGLETRANSLATE(C1028,""en"",""ar""))"),"&lt;QAL للإغلاق")</f>
        <v>&lt;QAL للإغلاق</v>
      </c>
    </row>
    <row r="1030" ht="15.75" customHeight="1">
      <c r="A1030" s="1" t="s">
        <v>1272</v>
      </c>
      <c r="B1030" s="2" t="s">
        <v>1273</v>
      </c>
      <c r="C1030" s="2"/>
    </row>
    <row r="1031" ht="15.75" customHeight="1">
      <c r="B1031" s="2" t="s">
        <v>1274</v>
      </c>
      <c r="C1031" s="2" t="s">
        <v>1275</v>
      </c>
    </row>
    <row r="1032" ht="15.75" customHeight="1">
      <c r="A1032" s="2" t="s">
        <v>4</v>
      </c>
      <c r="B1032" s="2" t="str">
        <f>IFERROR(__xludf.DUMMYFUNCTION("CONCAT(""&lt;"",GOOGLETRANSLATE(B1031,""en"",""ar""))"),"&lt;Ater")</f>
        <v>&lt;Ater</v>
      </c>
      <c r="C1032" s="2" t="str">
        <f>IFERROR(__xludf.DUMMYFUNCTION("CONCAT(""&lt;"",GOOGLETRANSLATE(C1031,""en"",""ar""))"),"&lt;(أ) ATER ؛ رأس الأسرة بعد المنفى (ب) ATER ؛ رأس الأسرة حراس البوابة بعد المنفى")</f>
        <v>&lt;(أ) ATER ؛ رأس الأسرة بعد المنفى (ب) ATER ؛ رأس الأسرة حراس البوابة بعد المنفى</v>
      </c>
    </row>
    <row r="1033" ht="15.75" customHeight="1">
      <c r="A1033" s="1" t="s">
        <v>1276</v>
      </c>
      <c r="B1033" s="2" t="s">
        <v>1277</v>
      </c>
      <c r="C1033" s="2"/>
    </row>
    <row r="1034" ht="15.75" customHeight="1">
      <c r="B1034" s="2" t="s">
        <v>1278</v>
      </c>
      <c r="C1034" s="2" t="s">
        <v>1279</v>
      </c>
    </row>
    <row r="1035" ht="15.75" customHeight="1">
      <c r="A1035" s="2" t="s">
        <v>4</v>
      </c>
      <c r="B1035" s="2" t="str">
        <f>IFERROR(__xludf.DUMMYFUNCTION("CONCAT(""&lt;"",GOOGLETRANSLATE(B1034,""en"",""ar""))"),"&lt;عسراء")</f>
        <v>&lt;عسراء</v>
      </c>
      <c r="C1035" s="2" t="str">
        <f>IFERROR(__xludf.DUMMYFUNCTION("CONCAT(""&lt;"",GOOGLETRANSLATE(C1034,""en"",""ar""))"),"&lt;مرتبط ب")</f>
        <v>&lt;مرتبط ب</v>
      </c>
    </row>
    <row r="1036" ht="15.75" customHeight="1">
      <c r="A1036" s="1" t="s">
        <v>1280</v>
      </c>
      <c r="B1036" s="2" t="s">
        <v>1281</v>
      </c>
      <c r="C1036" s="2"/>
    </row>
    <row r="1037" ht="15.75" customHeight="1">
      <c r="B1037" s="2" t="s">
        <v>626</v>
      </c>
      <c r="C1037" s="2" t="s">
        <v>627</v>
      </c>
    </row>
    <row r="1038" ht="15.75" customHeight="1">
      <c r="A1038" s="2" t="s">
        <v>4</v>
      </c>
      <c r="B1038" s="2" t="str">
        <f>IFERROR(__xludf.DUMMYFUNCTION("CONCAT(""&lt;"",GOOGLETRANSLATE(B1037,""en"",""ar""))"),"&lt;أين؟")</f>
        <v>&lt;أين؟</v>
      </c>
      <c r="C1038" s="2" t="str">
        <f>IFERROR(__xludf.DUMMYFUNCTION("CONCAT(""&lt;"",GOOGLETRANSLATE(C1037,""en"",""ar""))"),"&lt;سؤال أين؟")</f>
        <v>&lt;سؤال أين؟</v>
      </c>
    </row>
    <row r="1039" ht="15.75" customHeight="1">
      <c r="A1039" s="1" t="s">
        <v>1282</v>
      </c>
      <c r="B1039" s="2" t="s">
        <v>1283</v>
      </c>
      <c r="C1039" s="2"/>
    </row>
    <row r="1040" ht="15.75" customHeight="1">
      <c r="B1040" s="2" t="s">
        <v>1284</v>
      </c>
      <c r="C1040" s="2" t="s">
        <v>1285</v>
      </c>
    </row>
    <row r="1041" ht="15.75" customHeight="1">
      <c r="A1041" s="2" t="s">
        <v>4</v>
      </c>
      <c r="B1041" s="2" t="str">
        <f>IFERROR(__xludf.DUMMYFUNCTION("CONCAT(""&lt;"",GOOGLETRANSLATE(B1040,""en"",""ar""))"),"&lt;لا")</f>
        <v>&lt;لا</v>
      </c>
      <c r="C1041" s="2" t="str">
        <f>IFERROR(__xludf.DUMMYFUNCTION("CONCAT(""&lt;"",GOOGLETRANSLATE(C1040,""en"",""ar""))"),"&lt;(د) الجسيم لا")</f>
        <v>&lt;(د) الجسيم لا</v>
      </c>
    </row>
    <row r="1042" ht="15.75" customHeight="1">
      <c r="A1042" s="1" t="s">
        <v>1286</v>
      </c>
      <c r="B1042" s="2" t="s">
        <v>1287</v>
      </c>
      <c r="C1042" s="2"/>
    </row>
    <row r="1043" ht="15.75" customHeight="1">
      <c r="B1043" s="2" t="s">
        <v>718</v>
      </c>
      <c r="C1043" s="2" t="s">
        <v>1288</v>
      </c>
    </row>
    <row r="1044" ht="15.75" customHeight="1">
      <c r="A1044" s="2" t="s">
        <v>4</v>
      </c>
      <c r="B1044" s="2" t="str">
        <f>IFERROR(__xludf.DUMMYFUNCTION("CONCAT(""&lt;"",GOOGLETRANSLATE(B1043,""en"",""ar""))"),"&lt;ويل!")</f>
        <v>&lt;ويل!</v>
      </c>
      <c r="C1044" s="2" t="str">
        <f>IFERROR(__xludf.DUMMYFUNCTION("CONCAT(""&lt;"",GOOGLETRANSLATE(C1043,""en"",""ar""))"),"&lt;(ج) التدخل الويل!")</f>
        <v>&lt;(ج) التدخل الويل!</v>
      </c>
    </row>
    <row r="1045" ht="15.75" customHeight="1">
      <c r="A1045" s="1" t="s">
        <v>1289</v>
      </c>
      <c r="B1045" s="2" t="s">
        <v>1290</v>
      </c>
      <c r="C1045" s="2"/>
    </row>
    <row r="1046" ht="15.75" customHeight="1">
      <c r="B1046" s="2" t="s">
        <v>1291</v>
      </c>
      <c r="C1046" s="2" t="s">
        <v>1292</v>
      </c>
    </row>
    <row r="1047" ht="15.75" customHeight="1">
      <c r="A1047" s="2" t="s">
        <v>4</v>
      </c>
      <c r="B1047" s="2" t="str">
        <f>IFERROR(__xludf.DUMMYFUNCTION("CONCAT(""&lt;"",GOOGLETRANSLATE(B1046,""en"",""ar""))"),"&lt;وحش بري")</f>
        <v>&lt;وحش بري</v>
      </c>
      <c r="C1047" s="2" t="str">
        <f>IFERROR(__xludf.DUMMYFUNCTION("CONCAT(""&lt;"",GOOGLETRANSLATE(C1046,""en"",""ar""))"),"&lt;(ب) فوكس ، ابن آوى")</f>
        <v>&lt;(ب) فوكس ، ابن آوى</v>
      </c>
    </row>
    <row r="1048" ht="15.75" customHeight="1">
      <c r="A1048" s="1" t="s">
        <v>1293</v>
      </c>
      <c r="B1048" s="2" t="s">
        <v>1294</v>
      </c>
      <c r="C1048" s="2"/>
    </row>
    <row r="1049" ht="15.75" customHeight="1">
      <c r="B1049" s="2" t="s">
        <v>1295</v>
      </c>
      <c r="C1049" s="2" t="s">
        <v>1296</v>
      </c>
    </row>
    <row r="1050" ht="15.75" customHeight="1">
      <c r="A1050" s="2" t="s">
        <v>4</v>
      </c>
      <c r="B1050" s="2" t="str">
        <f>IFERROR(__xludf.DUMMYFUNCTION("CONCAT(""&lt;"",GOOGLETRANSLATE(B1049,""en"",""ar""))"),"&lt;السواحل")</f>
        <v>&lt;السواحل</v>
      </c>
      <c r="C1050" s="2" t="str">
        <f>IFERROR(__xludf.DUMMYFUNCTION("CONCAT(""&lt;"",GOOGLETRANSLATE(C1049,""en"",""ar""))"),"&lt;(أ) السواحل")</f>
        <v>&lt;(أ) السواحل</v>
      </c>
    </row>
    <row r="1051" ht="15.75" customHeight="1">
      <c r="A1051" s="1" t="s">
        <v>1297</v>
      </c>
      <c r="B1051" s="2" t="s">
        <v>1298</v>
      </c>
      <c r="C1051" s="2"/>
    </row>
    <row r="1052" ht="15.75" customHeight="1">
      <c r="B1052" s="2" t="s">
        <v>1299</v>
      </c>
      <c r="C1052" s="2" t="s">
        <v>1300</v>
      </c>
    </row>
    <row r="1053" ht="15.75" customHeight="1">
      <c r="A1053" s="2" t="s">
        <v>4</v>
      </c>
      <c r="B1053" s="2" t="str">
        <f>IFERROR(__xludf.DUMMYFUNCTION("CONCAT(""&lt;"",GOOGLETRANSLATE(B1052,""en"",""ar""))"),"&lt;كن عدائي")</f>
        <v>&lt;كن عدائي</v>
      </c>
      <c r="C1053" s="2" t="str">
        <f>IFERROR(__xludf.DUMMYFUNCTION("CONCAT(""&lt;"",GOOGLETRANSLATE(C1052,""en"",""ar""))"),"&lt;QAL أن تكون عدوًا")</f>
        <v>&lt;QAL أن تكون عدوًا</v>
      </c>
    </row>
    <row r="1054" ht="15.75" customHeight="1">
      <c r="A1054" s="1" t="s">
        <v>1301</v>
      </c>
      <c r="B1054" s="2" t="s">
        <v>1302</v>
      </c>
      <c r="C1054" s="2"/>
    </row>
    <row r="1055" ht="15.75" customHeight="1">
      <c r="B1055" s="2" t="s">
        <v>1303</v>
      </c>
      <c r="C1055" s="2" t="s">
        <v>1303</v>
      </c>
    </row>
    <row r="1056" ht="15.75" customHeight="1">
      <c r="A1056" s="2" t="s">
        <v>4</v>
      </c>
      <c r="B1056" s="2" t="str">
        <f>IFERROR(__xludf.DUMMYFUNCTION("CONCAT(""&lt;"",GOOGLETRANSLATE(B1055,""en"",""ar""))"),"&lt;العدو")</f>
        <v>&lt;العدو</v>
      </c>
      <c r="C1056" s="2" t="str">
        <f>IFERROR(__xludf.DUMMYFUNCTION("CONCAT(""&lt;"",GOOGLETRANSLATE(C1055,""en"",""ar""))"),"&lt;العدو")</f>
        <v>&lt;العدو</v>
      </c>
    </row>
    <row r="1057" ht="15.75" customHeight="1">
      <c r="A1057" s="1" t="s">
        <v>1304</v>
      </c>
      <c r="B1057" s="2" t="s">
        <v>1305</v>
      </c>
      <c r="C1057" s="2"/>
    </row>
    <row r="1058" ht="15.75" customHeight="1">
      <c r="B1058" s="2" t="s">
        <v>1306</v>
      </c>
      <c r="C1058" s="2" t="s">
        <v>1307</v>
      </c>
    </row>
    <row r="1059" ht="15.75" customHeight="1">
      <c r="A1059" s="2" t="s">
        <v>4</v>
      </c>
      <c r="B1059" s="2" t="str">
        <f>IFERROR(__xludf.DUMMYFUNCTION("CONCAT(""&lt;"",GOOGLETRANSLATE(B1058,""en"",""ar""))"),"&lt;عداوة")</f>
        <v>&lt;عداوة</v>
      </c>
      <c r="C1059" s="2" t="str">
        <f>IFERROR(__xludf.DUMMYFUNCTION("CONCAT(""&lt;"",GOOGLETRANSLATE(C1058,""en"",""ar""))"),"&lt;عداوة؛ العقل العدائي")</f>
        <v>&lt;عداوة؛ العقل العدائي</v>
      </c>
    </row>
    <row r="1060" ht="15.75" customHeight="1">
      <c r="A1060" s="1" t="s">
        <v>1308</v>
      </c>
      <c r="B1060" s="2" t="s">
        <v>1309</v>
      </c>
      <c r="C1060" s="2"/>
    </row>
    <row r="1061" ht="15.75" customHeight="1">
      <c r="B1061" s="2" t="s">
        <v>1310</v>
      </c>
      <c r="C1061" s="2" t="s">
        <v>1311</v>
      </c>
    </row>
    <row r="1062" ht="15.75" customHeight="1">
      <c r="A1062" s="2" t="s">
        <v>4</v>
      </c>
      <c r="B1062" s="2" t="str">
        <f>IFERROR(__xludf.DUMMYFUNCTION("CONCAT(""&lt;"",GOOGLETRANSLATE(B1061,""en"",""ar""))"),"&lt;كارثة")</f>
        <v>&lt;كارثة</v>
      </c>
      <c r="C1062" s="2" t="str">
        <f>IFERROR(__xludf.DUMMYFUNCTION("CONCAT(""&lt;"",GOOGLETRANSLATE(C1061,""en"",""ar""))"),"&lt;كارثة دمار")</f>
        <v>&lt;كارثة دمار</v>
      </c>
    </row>
    <row r="1063" ht="15.75" customHeight="1">
      <c r="A1063" s="1" t="s">
        <v>1312</v>
      </c>
      <c r="B1063" s="2" t="s">
        <v>1313</v>
      </c>
      <c r="C1063" s="2"/>
    </row>
    <row r="1064" ht="15.75" customHeight="1">
      <c r="B1064" s="2" t="s">
        <v>1314</v>
      </c>
      <c r="C1064" s="2" t="s">
        <v>1315</v>
      </c>
    </row>
    <row r="1065" ht="15.75" customHeight="1">
      <c r="A1065" s="2" t="s">
        <v>4</v>
      </c>
      <c r="B1065" s="2" t="str">
        <f>IFERROR(__xludf.DUMMYFUNCTION("CONCAT(""&lt;"",GOOGLETRANSLATE(B1064,""en"",""ar""))"),"&lt;فالكون")</f>
        <v>&lt;فالكون</v>
      </c>
      <c r="C1065" s="2" t="str">
        <f>IFERROR(__xludf.DUMMYFUNCTION("CONCAT(""&lt;"",GOOGLETRANSLATE(C1064,""en"",""ar""))"),"&lt;(1) Buzzard؟ فالكون؟ هاريير؟")</f>
        <v>&lt;(1) Buzzard؟ فالكون؟ هاريير؟</v>
      </c>
    </row>
    <row r="1066" ht="15.75" customHeight="1">
      <c r="A1066" s="1" t="s">
        <v>1316</v>
      </c>
      <c r="B1066" s="2" t="s">
        <v>1317</v>
      </c>
      <c r="C1066" s="2"/>
    </row>
    <row r="1067" ht="15.75" customHeight="1">
      <c r="B1067" s="2" t="s">
        <v>1318</v>
      </c>
      <c r="C1067" s="2" t="s">
        <v>1319</v>
      </c>
    </row>
    <row r="1068" ht="15.75" customHeight="1">
      <c r="A1068" s="2" t="s">
        <v>4</v>
      </c>
      <c r="B1068" s="2" t="str">
        <f>IFERROR(__xludf.DUMMYFUNCTION("CONCAT(""&lt;"",GOOGLETRANSLATE(B1067,""en"",""ar""))"),"&lt;أيا")</f>
        <v>&lt;أيا</v>
      </c>
      <c r="C1068" s="2" t="str">
        <f>IFERROR(__xludf.DUMMYFUNCTION("CONCAT(""&lt;"",GOOGLETRANSLATE(C1067,""en"",""ar""))"),"&lt;(2A) AIAH ؛ ابن زيبيون ؛ سليل سير ؛ (2 ب) AIAH ؛ رجل")</f>
        <v>&lt;(2A) AIAH ؛ ابن زيبيون ؛ سليل سير ؛ (2 ب) AIAH ؛ رجل</v>
      </c>
    </row>
    <row r="1069" ht="15.75" customHeight="1">
      <c r="A1069" s="1" t="s">
        <v>1320</v>
      </c>
      <c r="B1069" s="2" t="s">
        <v>1321</v>
      </c>
      <c r="C1069" s="2"/>
    </row>
    <row r="1070" ht="15.75" customHeight="1">
      <c r="B1070" s="2" t="s">
        <v>626</v>
      </c>
      <c r="C1070" s="2" t="s">
        <v>627</v>
      </c>
    </row>
    <row r="1071" ht="15.75" customHeight="1">
      <c r="A1071" s="2" t="s">
        <v>4</v>
      </c>
      <c r="B1071" s="2" t="str">
        <f>IFERROR(__xludf.DUMMYFUNCTION("CONCAT(""&lt;"",GOOGLETRANSLATE(B1070,""en"",""ar""))"),"&lt;أين؟")</f>
        <v>&lt;أين؟</v>
      </c>
      <c r="C1071" s="2" t="str">
        <f>IFERROR(__xludf.DUMMYFUNCTION("CONCAT(""&lt;"",GOOGLETRANSLATE(C1070,""en"",""ar""))"),"&lt;سؤال أين؟")</f>
        <v>&lt;سؤال أين؟</v>
      </c>
    </row>
    <row r="1072" ht="15.75" customHeight="1">
      <c r="A1072" s="1" t="s">
        <v>1322</v>
      </c>
      <c r="B1072" s="2" t="s">
        <v>1323</v>
      </c>
      <c r="C1072" s="2"/>
    </row>
    <row r="1073" ht="15.75" customHeight="1">
      <c r="B1073" s="2" t="s">
        <v>1324</v>
      </c>
      <c r="C1073" s="2" t="s">
        <v>1325</v>
      </c>
    </row>
    <row r="1074" ht="15.75" customHeight="1">
      <c r="A1074" s="2" t="s">
        <v>4</v>
      </c>
      <c r="B1074" s="2" t="str">
        <f>IFERROR(__xludf.DUMMYFUNCTION("CONCAT(""&lt;"",GOOGLETRANSLATE(B1073,""en"",""ar""))"),"&lt;وظيفة")</f>
        <v>&lt;وظيفة</v>
      </c>
      <c r="C1074" s="2" t="str">
        <f>IFERROR(__xludf.DUMMYFUNCTION("CONCAT(""&lt;"",GOOGLETRANSLATE(C1073,""en"",""ar""))"),"&lt;وظيفة؛ رجل")</f>
        <v>&lt;وظيفة؛ رجل</v>
      </c>
    </row>
    <row r="1075" ht="15.75" customHeight="1">
      <c r="A1075" s="1" t="s">
        <v>1326</v>
      </c>
      <c r="B1075" s="2" t="s">
        <v>1327</v>
      </c>
      <c r="C1075" s="2"/>
    </row>
    <row r="1076" ht="15.75" customHeight="1">
      <c r="B1076" s="2" t="s">
        <v>1328</v>
      </c>
      <c r="C1076" s="2" t="s">
        <v>1329</v>
      </c>
    </row>
    <row r="1077" ht="15.75" customHeight="1">
      <c r="A1077" s="2" t="s">
        <v>4</v>
      </c>
      <c r="B1077" s="2" t="str">
        <f>IFERROR(__xludf.DUMMYFUNCTION("CONCAT(""&lt;"",GOOGLETRANSLATE(B1076,""en"",""ar""))"),"&lt;جيزبل")</f>
        <v>&lt;جيزبل</v>
      </c>
      <c r="C1077" s="2" t="str">
        <f>IFERROR(__xludf.DUMMYFUNCTION("CONCAT(""&lt;"",GOOGLETRANSLATE(C1076,""en"",""ar""))"),"&lt;جيزبل زوجة الملك راب")</f>
        <v>&lt;جيزبل زوجة الملك راب</v>
      </c>
    </row>
    <row r="1078" ht="15.75" customHeight="1">
      <c r="A1078" s="1" t="s">
        <v>1330</v>
      </c>
      <c r="B1078" s="2" t="s">
        <v>1331</v>
      </c>
      <c r="C1078" s="2"/>
    </row>
    <row r="1079" ht="15.75" customHeight="1">
      <c r="B1079" s="2" t="s">
        <v>1332</v>
      </c>
      <c r="C1079" s="2" t="s">
        <v>1333</v>
      </c>
    </row>
    <row r="1080" ht="15.75" customHeight="1">
      <c r="A1080" s="2" t="s">
        <v>4</v>
      </c>
      <c r="B1080" s="2" t="str">
        <f>IFERROR(__xludf.DUMMYFUNCTION("CONCAT(""&lt;"",GOOGLETRANSLATE(B1079,""en"",""ar""))"),"&lt;كيف؟")</f>
        <v>&lt;كيف؟</v>
      </c>
      <c r="C1080" s="2" t="str">
        <f>IFERROR(__xludf.DUMMYFUNCTION("CONCAT(""&lt;"",GOOGLETRANSLATE(C1079,""en"",""ar""))"),"&lt;سؤال كلمة كيف؟ ماذا؟")</f>
        <v>&lt;سؤال كلمة كيف؟ ماذا؟</v>
      </c>
    </row>
    <row r="1081" ht="15.75" customHeight="1">
      <c r="A1081" s="1" t="s">
        <v>1334</v>
      </c>
      <c r="B1081" s="2" t="s">
        <v>1335</v>
      </c>
      <c r="C1081" s="2"/>
    </row>
    <row r="1082" ht="15.75" customHeight="1">
      <c r="B1082" s="2" t="s">
        <v>1332</v>
      </c>
      <c r="C1082" s="2" t="s">
        <v>1336</v>
      </c>
    </row>
    <row r="1083" ht="15.75" customHeight="1">
      <c r="A1083" s="2" t="s">
        <v>4</v>
      </c>
      <c r="B1083" s="2" t="str">
        <f>IFERROR(__xludf.DUMMYFUNCTION("CONCAT(""&lt;"",GOOGLETRANSLATE(B1082,""en"",""ar""))"),"&lt;كيف؟")</f>
        <v>&lt;كيف؟</v>
      </c>
      <c r="C1083" s="2" t="str">
        <f>IFERROR(__xludf.DUMMYFUNCTION("CONCAT(""&lt;"",GOOGLETRANSLATE(C1082,""en"",""ar""))"),"&lt;سؤال كلمة كيف! ماذا!")</f>
        <v>&lt;سؤال كلمة كيف! ماذا!</v>
      </c>
    </row>
    <row r="1084" ht="15.75" customHeight="1">
      <c r="A1084" s="1" t="s">
        <v>1337</v>
      </c>
      <c r="B1084" s="2" t="s">
        <v>1338</v>
      </c>
      <c r="C1084" s="2"/>
    </row>
    <row r="1085" ht="15.75" customHeight="1">
      <c r="B1085" s="2" t="s">
        <v>1332</v>
      </c>
      <c r="C1085" s="2" t="s">
        <v>1333</v>
      </c>
    </row>
    <row r="1086" ht="15.75" customHeight="1">
      <c r="A1086" s="2" t="s">
        <v>4</v>
      </c>
      <c r="B1086" s="2" t="str">
        <f>IFERROR(__xludf.DUMMYFUNCTION("CONCAT(""&lt;"",GOOGLETRANSLATE(B1085,""en"",""ar""))"),"&lt;كيف؟")</f>
        <v>&lt;كيف؟</v>
      </c>
      <c r="C1086" s="2" t="str">
        <f>IFERROR(__xludf.DUMMYFUNCTION("CONCAT(""&lt;"",GOOGLETRANSLATE(C1085,""en"",""ar""))"),"&lt;سؤال كلمة كيف؟ ماذا؟")</f>
        <v>&lt;سؤال كلمة كيف؟ ماذا؟</v>
      </c>
    </row>
    <row r="1087" ht="15.75" customHeight="1">
      <c r="A1087" s="1" t="s">
        <v>1339</v>
      </c>
      <c r="B1087" s="2" t="s">
        <v>1340</v>
      </c>
      <c r="C1087" s="2"/>
    </row>
    <row r="1088" ht="15.75" customHeight="1">
      <c r="B1088" s="2" t="s">
        <v>1341</v>
      </c>
      <c r="C1088" s="2" t="s">
        <v>1342</v>
      </c>
    </row>
    <row r="1089" ht="15.75" customHeight="1">
      <c r="A1089" s="2" t="s">
        <v>4</v>
      </c>
      <c r="B1089" s="2" t="str">
        <f>IFERROR(__xludf.DUMMYFUNCTION("CONCAT(""&lt;"",GOOGLETRANSLATE(B1088,""en"",""ar""))"),"&lt;ichabod")</f>
        <v>&lt;ichabod</v>
      </c>
      <c r="C1089" s="2" t="str">
        <f>IFERROR(__xludf.DUMMYFUNCTION("CONCAT(""&lt;"",GOOGLETRANSLATE(C1088,""en"",""ar""))"),"&lt;ichabod ابن فينهاس ، كاهن")</f>
        <v>&lt;ichabod ابن فينهاس ، كاهن</v>
      </c>
    </row>
    <row r="1090" ht="15.75" customHeight="1">
      <c r="A1090" s="1" t="s">
        <v>1343</v>
      </c>
      <c r="B1090" s="2" t="s">
        <v>1344</v>
      </c>
      <c r="C1090" s="2"/>
    </row>
    <row r="1091" ht="15.75" customHeight="1">
      <c r="B1091" s="2" t="s">
        <v>626</v>
      </c>
      <c r="C1091" s="2" t="s">
        <v>1345</v>
      </c>
    </row>
    <row r="1092" ht="15.75" customHeight="1">
      <c r="A1092" s="2" t="s">
        <v>4</v>
      </c>
      <c r="B1092" s="2" t="str">
        <f>IFERROR(__xludf.DUMMYFUNCTION("CONCAT(""&lt;"",GOOGLETRANSLATE(B1091,""en"",""ar""))"),"&lt;أين؟")</f>
        <v>&lt;أين؟</v>
      </c>
      <c r="C1092" s="2" t="str">
        <f>IFERROR(__xludf.DUMMYFUNCTION("CONCAT(""&lt;"",GOOGLETRANSLATE(C1091,""en"",""ar""))"),"&lt;سؤال كلمة كيف؟ أين؟")</f>
        <v>&lt;سؤال كلمة كيف؟ أين؟</v>
      </c>
    </row>
    <row r="1093" ht="15.75" customHeight="1">
      <c r="A1093" s="1" t="s">
        <v>1346</v>
      </c>
      <c r="B1093" s="2" t="s">
        <v>1347</v>
      </c>
      <c r="C1093" s="2"/>
    </row>
    <row r="1094" ht="15.75" customHeight="1">
      <c r="B1094" s="2" t="s">
        <v>1348</v>
      </c>
      <c r="C1094" s="2" t="s">
        <v>1349</v>
      </c>
    </row>
    <row r="1095" ht="15.75" customHeight="1">
      <c r="A1095" s="2" t="s">
        <v>4</v>
      </c>
      <c r="B1095" s="2" t="str">
        <f>IFERROR(__xludf.DUMMYFUNCTION("CONCAT(""&lt;"",GOOGLETRANSLATE(B1094,""en"",""ar""))"),"&lt;كبش")</f>
        <v>&lt;كبش</v>
      </c>
      <c r="C1095" s="2" t="str">
        <f>IFERROR(__xludf.DUMMYFUNCTION("CONCAT(""&lt;"",GOOGLETRANSLATE(C1094,""en"",""ar""))"),"&lt;(ب) رام")</f>
        <v>&lt;(ب) رام</v>
      </c>
    </row>
    <row r="1096" ht="15.75" customHeight="1">
      <c r="A1096" s="1" t="s">
        <v>1350</v>
      </c>
      <c r="B1096" s="2" t="s">
        <v>1351</v>
      </c>
      <c r="C1096" s="2"/>
    </row>
    <row r="1097" ht="15.75" customHeight="1">
      <c r="B1097" s="2" t="s">
        <v>1352</v>
      </c>
      <c r="C1097" s="2" t="s">
        <v>1353</v>
      </c>
    </row>
    <row r="1098" ht="15.75" customHeight="1">
      <c r="A1098" s="2" t="s">
        <v>4</v>
      </c>
      <c r="B1098" s="2" t="str">
        <f>IFERROR(__xludf.DUMMYFUNCTION("CONCAT(""&lt;"",GOOGLETRANSLATE(B1097,""en"",""ar""))"),"&lt;عمود")</f>
        <v>&lt;عمود</v>
      </c>
      <c r="C1098" s="2" t="str">
        <f>IFERROR(__xludf.DUMMYFUNCTION("CONCAT(""&lt;"",GOOGLETRANSLATE(C1097,""en"",""ar""))"),"&lt;(ج) عمود. (د) عظيم")</f>
        <v>&lt;(ج) عمود. (د) عظيم</v>
      </c>
    </row>
    <row r="1099" ht="15.75" customHeight="1">
      <c r="A1099" s="1" t="s">
        <v>1354</v>
      </c>
      <c r="B1099" s="2" t="s">
        <v>1355</v>
      </c>
      <c r="C1099" s="2"/>
    </row>
    <row r="1100" ht="15.75" customHeight="1">
      <c r="B1100" s="2" t="s">
        <v>1356</v>
      </c>
    </row>
    <row r="1101" ht="15.75" customHeight="1">
      <c r="A1101" s="2" t="s">
        <v>4</v>
      </c>
      <c r="B1101" s="2" t="str">
        <f>IFERROR(__xludf.DUMMYFUNCTION("CONCAT(""&lt;"",GOOGLETRANSLATE(B1100,""en"",""ar""))"),"&lt;قائد")</f>
        <v>&lt;قائد</v>
      </c>
      <c r="C1101" s="2"/>
    </row>
    <row r="1102" ht="15.75" customHeight="1">
      <c r="A1102" s="1" t="s">
        <v>1357</v>
      </c>
      <c r="B1102" s="2" t="s">
        <v>1358</v>
      </c>
      <c r="C1102" s="2"/>
    </row>
    <row r="1103" ht="15.75" customHeight="1">
      <c r="B1103" s="2" t="s">
        <v>1359</v>
      </c>
      <c r="C1103" s="2" t="s">
        <v>1360</v>
      </c>
    </row>
    <row r="1104" ht="15.75" customHeight="1">
      <c r="A1104" s="2" t="s">
        <v>4</v>
      </c>
      <c r="B1104" s="2" t="str">
        <f>IFERROR(__xludf.DUMMYFUNCTION("CONCAT(""&lt;"",GOOGLETRANSLATE(B1103,""en"",""ar""))"),"&lt;terebinth")</f>
        <v>&lt;terebinth</v>
      </c>
      <c r="C1104" s="2" t="str">
        <f>IFERROR(__xludf.DUMMYFUNCTION("CONCAT(""&lt;"",GOOGLETRANSLATE(C1103,""en"",""ar""))"),"&lt;(أ) شجرة كبيرة")</f>
        <v>&lt;(أ) شجرة كبيرة</v>
      </c>
    </row>
    <row r="1105" ht="15.75" customHeight="1">
      <c r="A1105" s="1" t="s">
        <v>1361</v>
      </c>
      <c r="B1105" s="2" t="s">
        <v>1362</v>
      </c>
      <c r="C1105" s="2"/>
    </row>
    <row r="1106" ht="15.75" customHeight="1">
      <c r="B1106" s="2" t="s">
        <v>771</v>
      </c>
      <c r="C1106" s="2" t="s">
        <v>771</v>
      </c>
    </row>
    <row r="1107" ht="15.75" customHeight="1">
      <c r="A1107" s="2" t="s">
        <v>4</v>
      </c>
      <c r="B1107" s="2" t="str">
        <f>IFERROR(__xludf.DUMMYFUNCTION("CONCAT(""&lt;"",GOOGLETRANSLATE(B1106,""en"",""ar""))"),"&lt;قوة")</f>
        <v>&lt;قوة</v>
      </c>
      <c r="C1107" s="2" t="str">
        <f>IFERROR(__xludf.DUMMYFUNCTION("CONCAT(""&lt;"",GOOGLETRANSLATE(C1106,""en"",""ar""))"),"&lt;قوة")</f>
        <v>&lt;قوة</v>
      </c>
    </row>
    <row r="1108" ht="15.75" customHeight="1">
      <c r="A1108" s="1" t="s">
        <v>1363</v>
      </c>
      <c r="B1108" s="2" t="s">
        <v>1364</v>
      </c>
      <c r="C1108" s="2"/>
    </row>
    <row r="1109" ht="15.75" customHeight="1">
      <c r="B1109" s="2" t="s">
        <v>1365</v>
      </c>
    </row>
    <row r="1110" ht="15.75" customHeight="1">
      <c r="A1110" s="2" t="s">
        <v>4</v>
      </c>
      <c r="B1110" s="2" t="str">
        <f>IFERROR(__xludf.DUMMYFUNCTION("CONCAT(""&lt;"",GOOGLETRANSLATE(B1109,""en"",""ar""))"),"&lt;عزيزي")</f>
        <v>&lt;عزيزي</v>
      </c>
      <c r="C1110" s="2"/>
    </row>
    <row r="1111" ht="15.75" customHeight="1">
      <c r="A1111" s="1" t="s">
        <v>1366</v>
      </c>
      <c r="B1111" s="2" t="s">
        <v>1367</v>
      </c>
      <c r="C1111" s="2"/>
    </row>
    <row r="1112" ht="15.75" customHeight="1">
      <c r="B1112" s="2" t="s">
        <v>1368</v>
      </c>
      <c r="C1112" s="2" t="s">
        <v>1365</v>
      </c>
    </row>
    <row r="1113" ht="15.75" customHeight="1">
      <c r="A1113" s="2" t="s">
        <v>4</v>
      </c>
      <c r="B1113" s="2" t="str">
        <f>IFERROR(__xludf.DUMMYFUNCTION("CONCAT(""&lt;"",GOOGLETRANSLATE(B1112,""en"",""ar""))"),"&lt;ظبية")</f>
        <v>&lt;ظبية</v>
      </c>
      <c r="C1113" s="2" t="str">
        <f>IFERROR(__xludf.DUMMYFUNCTION("CONCAT(""&lt;"",GOOGLETRANSLATE(C1112,""en"",""ar""))"),"&lt;عزيزي")</f>
        <v>&lt;عزيزي</v>
      </c>
    </row>
    <row r="1114" ht="15.75" customHeight="1">
      <c r="A1114" s="1" t="s">
        <v>1369</v>
      </c>
      <c r="B1114" s="2" t="s">
        <v>1370</v>
      </c>
      <c r="C1114" s="2"/>
    </row>
    <row r="1115" ht="15.75" customHeight="1">
      <c r="B1115" s="2" t="s">
        <v>1371</v>
      </c>
      <c r="C1115" s="2" t="s">
        <v>1371</v>
      </c>
    </row>
    <row r="1116" ht="15.75" customHeight="1">
      <c r="A1116" s="2" t="s">
        <v>4</v>
      </c>
      <c r="B1116" s="2" t="str">
        <f>IFERROR(__xludf.DUMMYFUNCTION("CONCAT(""&lt;"",GOOGLETRANSLATE(B1115,""en"",""ar""))"),"&lt;إيلون")</f>
        <v>&lt;إيلون</v>
      </c>
      <c r="C1116" s="2" t="str">
        <f>IFERROR(__xludf.DUMMYFUNCTION("CONCAT(""&lt;"",GOOGLETRANSLATE(C1115,""en"",""ar""))"),"&lt;إيلون")</f>
        <v>&lt;إيلون</v>
      </c>
    </row>
    <row r="1117" ht="15.75" customHeight="1">
      <c r="A1117" s="1" t="s">
        <v>1372</v>
      </c>
      <c r="B1117" s="2" t="s">
        <v>1373</v>
      </c>
      <c r="C1117" s="2"/>
    </row>
    <row r="1118" ht="15.75" customHeight="1">
      <c r="B1118" s="2" t="s">
        <v>1374</v>
      </c>
      <c r="C1118" s="2" t="s">
        <v>1375</v>
      </c>
    </row>
    <row r="1119" ht="15.75" customHeight="1">
      <c r="A1119" s="2" t="s">
        <v>4</v>
      </c>
      <c r="B1119" s="2" t="str">
        <f>IFERROR(__xludf.DUMMYFUNCTION("CONCAT(""&lt;"",GOOGLETRANSLATE(B1118,""en"",""ar""))"),"&lt;Aijalon")</f>
        <v>&lt;Aijalon</v>
      </c>
      <c r="C1119" s="2" t="str">
        <f>IFERROR(__xludf.DUMMYFUNCTION("CONCAT(""&lt;"",GOOGLETRANSLATE(C1118,""en"",""ar""))"),"&lt;(أ) Aijalon ؛ بلدة؛ لللاوي أراضي دان ، إفرايم ؛ (ب) Aijalon ؛ بلدة؛ أراضي زيبلون")</f>
        <v>&lt;(أ) Aijalon ؛ بلدة؛ لللاوي أراضي دان ، إفرايم ؛ (ب) Aijalon ؛ بلدة؛ أراضي زيبلون</v>
      </c>
    </row>
    <row r="1120" ht="15.75" customHeight="1">
      <c r="A1120" s="1" t="s">
        <v>1376</v>
      </c>
      <c r="B1120" s="2" t="s">
        <v>1377</v>
      </c>
      <c r="C1120" s="2"/>
    </row>
    <row r="1121" ht="15.75" customHeight="1">
      <c r="B1121" s="2" t="s">
        <v>1378</v>
      </c>
      <c r="C1121" s="2" t="s">
        <v>1378</v>
      </c>
    </row>
    <row r="1122" ht="15.75" customHeight="1">
      <c r="A1122" s="2" t="s">
        <v>4</v>
      </c>
      <c r="B1122" s="2" t="str">
        <f>IFERROR(__xludf.DUMMYFUNCTION("CONCAT(""&lt;"",GOOGLETRANSLATE(B1121,""en"",""ar""))"),"&lt;elonbeth-hanan")</f>
        <v>&lt;elonbeth-hanan</v>
      </c>
      <c r="C1122" s="2" t="str">
        <f>IFERROR(__xludf.DUMMYFUNCTION("CONCAT(""&lt;"",GOOGLETRANSLATE(C1121,""en"",""ar""))"),"&lt;elonbeth-hanan")</f>
        <v>&lt;elonbeth-hanan</v>
      </c>
    </row>
    <row r="1123" ht="15.75" customHeight="1">
      <c r="A1123" s="1" t="s">
        <v>1379</v>
      </c>
      <c r="B1123" s="2" t="s">
        <v>1380</v>
      </c>
      <c r="C1123" s="2"/>
    </row>
    <row r="1124" ht="15.75" customHeight="1">
      <c r="B1124" s="2" t="s">
        <v>1381</v>
      </c>
      <c r="C1124" s="2" t="s">
        <v>1382</v>
      </c>
    </row>
    <row r="1125" ht="15.75" customHeight="1">
      <c r="A1125" s="2" t="s">
        <v>4</v>
      </c>
      <c r="B1125" s="2" t="str">
        <f>IFERROR(__xludf.DUMMYFUNCTION("CONCAT(""&lt;"",GOOGLETRANSLATE(B1124,""en"",""ar""))"),"&lt;elath")</f>
        <v>&lt;elath</v>
      </c>
      <c r="C1125" s="2" t="str">
        <f>IFERROR(__xludf.DUMMYFUNCTION("CONCAT(""&lt;"",GOOGLETRANSLATE(C1124,""en"",""ar""))"),"&lt;elath بلدة؛ البحر الاحمر")</f>
        <v>&lt;elath بلدة؛ البحر الاحمر</v>
      </c>
    </row>
    <row r="1126" ht="15.75" customHeight="1">
      <c r="A1126" s="1" t="s">
        <v>1383</v>
      </c>
      <c r="B1126" s="2" t="s">
        <v>1384</v>
      </c>
      <c r="C1126" s="2"/>
    </row>
    <row r="1127" ht="15.75" customHeight="1">
      <c r="B1127" s="2" t="s">
        <v>1385</v>
      </c>
      <c r="C1127" s="2" t="s">
        <v>1386</v>
      </c>
    </row>
    <row r="1128" ht="15.75" customHeight="1">
      <c r="A1128" s="2" t="s">
        <v>4</v>
      </c>
      <c r="B1128" s="2" t="str">
        <f>IFERROR(__xludf.DUMMYFUNCTION("CONCAT(""&lt;"",GOOGLETRANSLATE(B1127,""en"",""ar""))"),"&lt;eloth")</f>
        <v>&lt;eloth</v>
      </c>
      <c r="C1128" s="2" t="str">
        <f>IFERROR(__xludf.DUMMYFUNCTION("CONCAT(""&lt;"",GOOGLETRANSLATE(C1127,""en"",""ar""))"),"&lt;eloth بلدة؛ البحر الاحمر")</f>
        <v>&lt;eloth بلدة؛ البحر الاحمر</v>
      </c>
    </row>
    <row r="1129" ht="15.75" customHeight="1">
      <c r="A1129" s="1" t="s">
        <v>1387</v>
      </c>
      <c r="B1129" s="2" t="s">
        <v>1388</v>
      </c>
      <c r="C1129" s="2"/>
    </row>
    <row r="1130" ht="15.75" customHeight="1">
      <c r="B1130" s="2" t="s">
        <v>771</v>
      </c>
      <c r="C1130" s="2" t="s">
        <v>1389</v>
      </c>
    </row>
    <row r="1131" ht="15.75" customHeight="1">
      <c r="A1131" s="2" t="s">
        <v>4</v>
      </c>
      <c r="B1131" s="2" t="str">
        <f>IFERROR(__xludf.DUMMYFUNCTION("CONCAT(""&lt;"",GOOGLETRANSLATE(B1130,""en"",""ar""))"),"&lt;قوة")</f>
        <v>&lt;قوة</v>
      </c>
      <c r="C1131" s="2" t="str">
        <f>IFERROR(__xludf.DUMMYFUNCTION("CONCAT(""&lt;"",GOOGLETRANSLATE(C1130,""en"",""ar""))"),"&lt;قوة")</f>
        <v>&lt;قوة</v>
      </c>
    </row>
    <row r="1132" ht="15.75" customHeight="1">
      <c r="A1132" s="1" t="s">
        <v>1390</v>
      </c>
      <c r="B1132" s="2" t="s">
        <v>1391</v>
      </c>
      <c r="C1132" s="2"/>
    </row>
    <row r="1133" ht="15.75" customHeight="1">
      <c r="B1133" s="2" t="s">
        <v>1392</v>
      </c>
      <c r="C1133" s="2" t="s">
        <v>753</v>
      </c>
    </row>
    <row r="1134" ht="15.75" customHeight="1">
      <c r="A1134" s="2" t="s">
        <v>4</v>
      </c>
      <c r="B1134" s="2" t="str">
        <f>IFERROR(__xludf.DUMMYFUNCTION("CONCAT(""&lt;"",GOOGLETRANSLATE(B1133,""en"",""ar""))"),"&lt;أقواس")</f>
        <v>&lt;أقواس</v>
      </c>
      <c r="C1134" s="2" t="str">
        <f>IFERROR(__xludf.DUMMYFUNCTION("CONCAT(""&lt;"",GOOGLETRANSLATE(C1133,""en"",""ar""))"),"&lt;رواق .. شرفة بيت ارضي")</f>
        <v>&lt;رواق .. شرفة بيت ارضي</v>
      </c>
    </row>
    <row r="1135" ht="15.75" customHeight="1">
      <c r="A1135" s="1" t="s">
        <v>1393</v>
      </c>
      <c r="B1135" s="2" t="s">
        <v>1394</v>
      </c>
      <c r="C1135" s="2"/>
    </row>
    <row r="1136" ht="15.75" customHeight="1">
      <c r="B1136" s="2" t="s">
        <v>1395</v>
      </c>
      <c r="C1136" s="2" t="s">
        <v>1396</v>
      </c>
    </row>
    <row r="1137" ht="15.75" customHeight="1">
      <c r="A1137" s="2" t="s">
        <v>4</v>
      </c>
      <c r="B1137" s="2" t="str">
        <f>IFERROR(__xludf.DUMMYFUNCTION("CONCAT(""&lt;"",GOOGLETRANSLATE(B1136,""en"",""ar""))"),"&lt;القضاء")</f>
        <v>&lt;القضاء</v>
      </c>
      <c r="C1137" s="2" t="str">
        <f>IFERROR(__xludf.DUMMYFUNCTION("CONCAT(""&lt;"",GOOGLETRANSLATE(C1136,""en"",""ar""))"),"&lt;القضاء موقع في شبه جزيرة سيناء")</f>
        <v>&lt;القضاء موقع في شبه جزيرة سيناء</v>
      </c>
    </row>
    <row r="1138" ht="15.75" customHeight="1">
      <c r="A1138" s="1" t="s">
        <v>1397</v>
      </c>
      <c r="B1138" s="2" t="s">
        <v>1398</v>
      </c>
      <c r="C1138" s="2"/>
    </row>
    <row r="1139" ht="15.75" customHeight="1">
      <c r="B1139" s="2" t="s">
        <v>1399</v>
      </c>
    </row>
    <row r="1140" ht="15.75" customHeight="1">
      <c r="A1140" s="2" t="s">
        <v>4</v>
      </c>
      <c r="B1140" s="2" t="str">
        <f>IFERROR(__xludf.DUMMYFUNCTION("CONCAT(""&lt;"",GOOGLETRANSLATE(B1139,""en"",""ar""))"),"&lt;شجرة")</f>
        <v>&lt;شجرة</v>
      </c>
      <c r="C1140" s="2"/>
    </row>
    <row r="1141" ht="15.75" customHeight="1">
      <c r="A1141" s="1" t="s">
        <v>1400</v>
      </c>
      <c r="B1141" s="2" t="s">
        <v>1401</v>
      </c>
      <c r="C1141" s="2"/>
    </row>
    <row r="1142" ht="15.75" customHeight="1">
      <c r="B1142" s="2" t="s">
        <v>1402</v>
      </c>
      <c r="C1142" s="2" t="s">
        <v>1403</v>
      </c>
    </row>
    <row r="1143" ht="15.75" customHeight="1">
      <c r="A1143" s="2" t="s">
        <v>4</v>
      </c>
      <c r="B1143" s="2" t="str">
        <f>IFERROR(__xludf.DUMMYFUNCTION("CONCAT(""&lt;"",GOOGLETRANSLATE(B1142,""en"",""ar""))"),"&lt;الباران")</f>
        <v>&lt;الباران</v>
      </c>
      <c r="C1143" s="2" t="str">
        <f>IFERROR(__xludf.DUMMYFUNCTION("CONCAT(""&lt;"",GOOGLETRANSLATE(C1142,""en"",""ar""))"),"&lt;إل باران الموقع في صحراء باران")</f>
        <v>&lt;إل باران الموقع في صحراء باران</v>
      </c>
    </row>
    <row r="1144" ht="15.75" customHeight="1">
      <c r="A1144" s="1" t="s">
        <v>1404</v>
      </c>
      <c r="B1144" s="2" t="s">
        <v>1405</v>
      </c>
      <c r="C1144" s="2"/>
    </row>
    <row r="1145" ht="15.75" customHeight="1">
      <c r="B1145" s="2" t="s">
        <v>1368</v>
      </c>
      <c r="C1145" s="2" t="s">
        <v>1406</v>
      </c>
    </row>
    <row r="1146" ht="15.75" customHeight="1">
      <c r="A1146" s="2" t="s">
        <v>4</v>
      </c>
      <c r="B1146" s="2" t="str">
        <f>IFERROR(__xludf.DUMMYFUNCTION("CONCAT(""&lt;"",GOOGLETRANSLATE(B1145,""en"",""ar""))"),"&lt;ظبية")</f>
        <v>&lt;ظبية</v>
      </c>
      <c r="C1146" s="2" t="str">
        <f>IFERROR(__xludf.DUMMYFUNCTION("CONCAT(""&lt;"",GOOGLETRANSLATE(C1145,""en"",""ar""))"),"&lt;هند (الغزلان الإناث ؛ FF 20)")</f>
        <v>&lt;هند (الغزلان الإناث ؛ FF 20)</v>
      </c>
    </row>
    <row r="1147" ht="15.75" customHeight="1">
      <c r="A1147" s="1" t="s">
        <v>1407</v>
      </c>
      <c r="B1147" s="2" t="s">
        <v>1408</v>
      </c>
      <c r="C1147" s="2"/>
    </row>
    <row r="1148" ht="15.75" customHeight="1">
      <c r="B1148" s="2" t="s">
        <v>1409</v>
      </c>
      <c r="C1148" s="2" t="s">
        <v>1409</v>
      </c>
    </row>
    <row r="1149" ht="15.75" customHeight="1">
      <c r="A1149" s="2" t="s">
        <v>4</v>
      </c>
      <c r="B1149" s="2" t="str">
        <f>IFERROR(__xludf.DUMMYFUNCTION("CONCAT(""&lt;"",GOOGLETRANSLATE(B1148,""en"",""ar""))"),"&lt;رهيب")</f>
        <v>&lt;رهيب</v>
      </c>
      <c r="C1149" s="2" t="str">
        <f>IFERROR(__xludf.DUMMYFUNCTION("CONCAT(""&lt;"",GOOGLETRANSLATE(C1148,""en"",""ar""))"),"&lt;رهيب")</f>
        <v>&lt;رهيب</v>
      </c>
    </row>
    <row r="1150" ht="15.75" customHeight="1">
      <c r="A1150" s="1" t="s">
        <v>1410</v>
      </c>
      <c r="B1150" s="2" t="s">
        <v>1411</v>
      </c>
      <c r="C1150" s="2"/>
    </row>
    <row r="1151" ht="15.75" customHeight="1">
      <c r="B1151" s="2" t="s">
        <v>1412</v>
      </c>
      <c r="C1151" s="2" t="s">
        <v>1413</v>
      </c>
    </row>
    <row r="1152" ht="15.75" customHeight="1">
      <c r="A1152" s="2" t="s">
        <v>4</v>
      </c>
      <c r="B1152" s="2" t="str">
        <f>IFERROR(__xludf.DUMMYFUNCTION("CONCAT(""&lt;"",GOOGLETRANSLATE(B1151,""en"",""ar""))"),"&lt;الإرهاب")</f>
        <v>&lt;الإرهاب</v>
      </c>
      <c r="C1152" s="2" t="str">
        <f>IFERROR(__xludf.DUMMYFUNCTION("CONCAT(""&lt;"",GOOGLETRANSLATE(C1151,""en"",""ar""))"),"&lt;الرعب ، الرهبة")</f>
        <v>&lt;الرعب ، الرهبة</v>
      </c>
    </row>
    <row r="1153" ht="15.75" customHeight="1">
      <c r="A1153" s="1" t="s">
        <v>1414</v>
      </c>
      <c r="B1153" s="2" t="s">
        <v>1415</v>
      </c>
      <c r="C1153" s="2"/>
    </row>
    <row r="1154" ht="15.75" customHeight="1">
      <c r="B1154" s="2" t="s">
        <v>1416</v>
      </c>
      <c r="C1154" s="2" t="s">
        <v>1417</v>
      </c>
    </row>
    <row r="1155" ht="15.75" customHeight="1">
      <c r="A1155" s="2" t="s">
        <v>4</v>
      </c>
      <c r="B1155" s="2" t="str">
        <f>IFERROR(__xludf.DUMMYFUNCTION("CONCAT(""&lt;"",GOOGLETRANSLATE(B1154,""en"",""ar""))"),"&lt;emim")</f>
        <v>&lt;emim</v>
      </c>
      <c r="C1155" s="2" t="str">
        <f>IFERROR(__xludf.DUMMYFUNCTION("CONCAT(""&lt;"",GOOGLETRANSLATE(C1154,""en"",""ar""))"),"&lt;إيمايم الناس")</f>
        <v>&lt;إيمايم الناس</v>
      </c>
    </row>
    <row r="1156" ht="15.75" customHeight="1">
      <c r="A1156" s="1" t="s">
        <v>1418</v>
      </c>
      <c r="B1156" s="2" t="s">
        <v>1419</v>
      </c>
      <c r="C1156" s="2"/>
    </row>
    <row r="1157" ht="15.75" customHeight="1">
      <c r="B1157" s="2" t="s">
        <v>1420</v>
      </c>
      <c r="C1157" s="2" t="s">
        <v>1421</v>
      </c>
    </row>
    <row r="1158" ht="15.75" customHeight="1">
      <c r="A1158" s="2" t="s">
        <v>4</v>
      </c>
      <c r="B1158" s="2" t="str">
        <f>IFERROR(__xludf.DUMMYFUNCTION("CONCAT(""&lt;"",GOOGLETRANSLATE(B1157,""en"",""ar""))"),"&lt;لا شئ")</f>
        <v>&lt;لا شئ</v>
      </c>
      <c r="C1158" s="2" t="str">
        <f>IFERROR(__xludf.DUMMYFUNCTION("CONCAT(""&lt;"",GOOGLETRANSLATE(C1157,""en"",""ar""))"),"&lt;(أ) العدم ، لا ؛ (ب) سؤال كلمة أين؟")</f>
        <v>&lt;(أ) العدم ، لا ؛ (ب) سؤال كلمة أين؟</v>
      </c>
    </row>
    <row r="1159" ht="15.75" customHeight="1">
      <c r="A1159" s="1" t="s">
        <v>1422</v>
      </c>
      <c r="B1159" s="2" t="s">
        <v>1423</v>
      </c>
      <c r="C1159" s="2"/>
    </row>
    <row r="1160" ht="15.75" customHeight="1">
      <c r="B1160" s="2" t="s">
        <v>1424</v>
      </c>
      <c r="C1160" s="2" t="s">
        <v>1425</v>
      </c>
    </row>
    <row r="1161" ht="15.75" customHeight="1">
      <c r="A1161" s="2" t="s">
        <v>4</v>
      </c>
      <c r="B1161" s="2" t="str">
        <f>IFERROR(__xludf.DUMMYFUNCTION("CONCAT(""&lt;"",GOOGLETRANSLATE(B1160,""en"",""ar""))"),"&lt;من أين؟")</f>
        <v>&lt;من أين؟</v>
      </c>
      <c r="C1161" s="2" t="str">
        <f>IFERROR(__xludf.DUMMYFUNCTION("CONCAT(""&lt;"",GOOGLETRANSLATE(C1160,""en"",""ar""))"),"&lt;سؤال أين؟ كيف؟")</f>
        <v>&lt;سؤال أين؟ كيف؟</v>
      </c>
    </row>
    <row r="1162" ht="15.75" customHeight="1">
      <c r="A1162" s="1" t="s">
        <v>1426</v>
      </c>
      <c r="B1162" s="2" t="s">
        <v>1427</v>
      </c>
      <c r="C1162" s="2"/>
    </row>
    <row r="1163" ht="15.75" customHeight="1">
      <c r="B1163" s="2" t="s">
        <v>1428</v>
      </c>
      <c r="C1163" s="2" t="s">
        <v>1425</v>
      </c>
    </row>
    <row r="1164" ht="15.75" customHeight="1">
      <c r="A1164" s="2" t="s">
        <v>4</v>
      </c>
      <c r="B1164" s="2" t="str">
        <f>IFERROR(__xludf.DUMMYFUNCTION("CONCAT(""&lt;"",GOOGLETRANSLATE(B1163,""en"",""ar""))"),"&lt;ليس")</f>
        <v>&lt;ليس</v>
      </c>
      <c r="C1164" s="2" t="str">
        <f>IFERROR(__xludf.DUMMYFUNCTION("CONCAT(""&lt;"",GOOGLETRANSLATE(C1163,""en"",""ar""))"),"&lt;سؤال أين؟ كيف؟")</f>
        <v>&lt;سؤال أين؟ كيف؟</v>
      </c>
    </row>
    <row r="1165" ht="15.75" customHeight="1">
      <c r="A1165" s="1" t="s">
        <v>1429</v>
      </c>
      <c r="B1165" s="2" t="s">
        <v>1430</v>
      </c>
      <c r="C1165" s="2"/>
    </row>
    <row r="1166" ht="15.75" customHeight="1">
      <c r="B1166" s="2" t="s">
        <v>1431</v>
      </c>
      <c r="C1166" s="2" t="s">
        <v>1432</v>
      </c>
    </row>
    <row r="1167" ht="15.75" customHeight="1">
      <c r="A1167" s="2" t="s">
        <v>4</v>
      </c>
      <c r="B1167" s="2" t="str">
        <f>IFERROR(__xludf.DUMMYFUNCTION("CONCAT(""&lt;"",GOOGLETRANSLATE(B1166,""en"",""ar""))"),"&lt;أيزر")</f>
        <v>&lt;أيزر</v>
      </c>
      <c r="C1167" s="2" t="str">
        <f>IFERROR(__xludf.DUMMYFUNCTION("CONCAT(""&lt;"",GOOGLETRANSLATE(C1166,""en"",""ar""))"),"&lt;أيزر ابن جيليد. قبيلة ماناس")</f>
        <v>&lt;أيزر ابن جيليد. قبيلة ماناس</v>
      </c>
    </row>
    <row r="1168" ht="15.75" customHeight="1">
      <c r="A1168" s="1" t="s">
        <v>1433</v>
      </c>
      <c r="B1168" s="2" t="s">
        <v>1434</v>
      </c>
      <c r="C1168" s="2"/>
    </row>
    <row r="1169" ht="15.75" customHeight="1">
      <c r="B1169" s="2" t="s">
        <v>1435</v>
      </c>
      <c r="C1169" s="2" t="s">
        <v>1436</v>
      </c>
    </row>
    <row r="1170" ht="15.75" customHeight="1">
      <c r="A1170" s="2" t="s">
        <v>4</v>
      </c>
      <c r="B1170" s="2" t="str">
        <f>IFERROR(__xludf.DUMMYFUNCTION("CONCAT(""&lt;"",GOOGLETRANSLATE(B1169,""en"",""ar""))"),"&lt;Iezerite")</f>
        <v>&lt;Iezerite</v>
      </c>
      <c r="C1170" s="2" t="str">
        <f>IFERROR(__xludf.DUMMYFUNCTION("CONCAT(""&lt;"",GOOGLETRANSLATE(C1169,""en"",""ar""))"),"&lt;Iezrite. سليل إيزر ، ابن جيليد ؛ قبيلة ماناس")</f>
        <v>&lt;Iezrite. سليل إيزر ، ابن جيليد ؛ قبيلة ماناس</v>
      </c>
    </row>
    <row r="1171" ht="15.75" customHeight="1">
      <c r="A1171" s="1" t="s">
        <v>1437</v>
      </c>
      <c r="B1171" s="2" t="s">
        <v>1438</v>
      </c>
      <c r="C1171" s="2"/>
    </row>
    <row r="1172" ht="15.75" customHeight="1">
      <c r="B1172" s="2" t="s">
        <v>1439</v>
      </c>
      <c r="C1172" s="2" t="s">
        <v>1440</v>
      </c>
    </row>
    <row r="1173" ht="15.75" customHeight="1">
      <c r="A1173" s="2" t="s">
        <v>4</v>
      </c>
      <c r="B1173" s="2" t="str">
        <f>IFERROR(__xludf.DUMMYFUNCTION("CONCAT(""&lt;"",GOOGLETRANSLATE(B1172,""en"",""ar""))"),"&lt;أفاه")</f>
        <v>&lt;أفاه</v>
      </c>
      <c r="C1173" s="2" t="str">
        <f>IFERROR(__xludf.DUMMYFUNCTION("CONCAT(""&lt;"",GOOGLETRANSLATE(C1172,""en"",""ar""))"),"&lt;وحدة قياس جاف من 22 لتر أو 0.6 بوشل ؛ يساوي 10 omer")</f>
        <v>&lt;وحدة قياس جاف من 22 لتر أو 0.6 بوشل ؛ يساوي 10 omer</v>
      </c>
    </row>
    <row r="1174" ht="15.75" customHeight="1">
      <c r="A1174" s="1" t="s">
        <v>1441</v>
      </c>
      <c r="B1174" s="2" t="s">
        <v>1442</v>
      </c>
      <c r="C1174" s="2"/>
    </row>
    <row r="1175" ht="15.75" customHeight="1">
      <c r="B1175" s="2" t="s">
        <v>626</v>
      </c>
      <c r="C1175" s="2" t="s">
        <v>1425</v>
      </c>
    </row>
    <row r="1176" ht="15.75" customHeight="1">
      <c r="A1176" s="2" t="s">
        <v>4</v>
      </c>
      <c r="B1176" s="2" t="str">
        <f>IFERROR(__xludf.DUMMYFUNCTION("CONCAT(""&lt;"",GOOGLETRANSLATE(B1175,""en"",""ar""))"),"&lt;أين؟")</f>
        <v>&lt;أين؟</v>
      </c>
      <c r="C1176" s="2" t="str">
        <f>IFERROR(__xludf.DUMMYFUNCTION("CONCAT(""&lt;"",GOOGLETRANSLATE(C1175,""en"",""ar""))"),"&lt;سؤال أين؟ كيف؟")</f>
        <v>&lt;سؤال أين؟ كيف؟</v>
      </c>
    </row>
    <row r="1177" ht="15.75" customHeight="1">
      <c r="A1177" s="1" t="s">
        <v>1443</v>
      </c>
      <c r="B1177" s="2" t="s">
        <v>1444</v>
      </c>
      <c r="C1177" s="2"/>
    </row>
    <row r="1178" ht="15.75" customHeight="1">
      <c r="B1178" s="2" t="s">
        <v>452</v>
      </c>
      <c r="C1178" s="2" t="s">
        <v>452</v>
      </c>
    </row>
    <row r="1179" ht="15.75" customHeight="1">
      <c r="A1179" s="2" t="s">
        <v>4</v>
      </c>
      <c r="B1179" s="2" t="str">
        <f>IFERROR(__xludf.DUMMYFUNCTION("CONCAT(""&lt;"",GOOGLETRANSLATE(B1178,""en"",""ar""))"),"&lt;رجل")</f>
        <v>&lt;رجل</v>
      </c>
      <c r="C1179" s="2" t="str">
        <f>IFERROR(__xludf.DUMMYFUNCTION("CONCAT(""&lt;"",GOOGLETRANSLATE(C1178,""en"",""ar""))"),"&lt;رجل")</f>
        <v>&lt;رجل</v>
      </c>
    </row>
    <row r="1180" ht="15.75" customHeight="1">
      <c r="A1180" s="1" t="s">
        <v>1445</v>
      </c>
      <c r="B1180" s="2" t="s">
        <v>1446</v>
      </c>
      <c r="C1180" s="2"/>
    </row>
    <row r="1181" ht="15.75" customHeight="1">
      <c r="B1181" s="2" t="s">
        <v>1447</v>
      </c>
      <c r="C1181" s="2" t="s">
        <v>1448</v>
      </c>
    </row>
    <row r="1182" ht="15.75" customHeight="1">
      <c r="A1182" s="2" t="s">
        <v>4</v>
      </c>
      <c r="B1182" s="2" t="str">
        <f>IFERROR(__xludf.DUMMYFUNCTION("CONCAT(""&lt;"",GOOGLETRANSLATE(B1181,""en"",""ar""))"),"&lt;كن رجولي")</f>
        <v>&lt;كن رجولي</v>
      </c>
      <c r="C1182" s="2" t="str">
        <f>IFERROR(__xludf.DUMMYFUNCTION("CONCAT(""&lt;"",GOOGLETRANSLATE(C1181,""en"",""ar""))"),"&lt;HITP. لتكون غاضبة؟ لتصرف الفريرة؟")</f>
        <v>&lt;HITP. لتكون غاضبة؟ لتصرف الفريرة؟</v>
      </c>
    </row>
    <row r="1183" ht="15.75" customHeight="1">
      <c r="A1183" s="1" t="s">
        <v>1449</v>
      </c>
      <c r="B1183" s="2" t="s">
        <v>1450</v>
      </c>
      <c r="C1183" s="2"/>
    </row>
    <row r="1184" ht="15.75" customHeight="1">
      <c r="B1184" s="2" t="s">
        <v>1451</v>
      </c>
      <c r="C1184" s="2" t="s">
        <v>1452</v>
      </c>
    </row>
    <row r="1185" ht="15.75" customHeight="1">
      <c r="A1185" s="2" t="s">
        <v>4</v>
      </c>
      <c r="B1185" s="2" t="str">
        <f>IFERROR(__xludf.DUMMYFUNCTION("CONCAT(""&lt;"",GOOGLETRANSLATE(B1184,""en"",""ar""))"),"&lt;عيش بوشث")</f>
        <v>&lt;عيش بوشث</v>
      </c>
      <c r="C1185" s="2" t="str">
        <f>IFERROR(__xludf.DUMMYFUNCTION("CONCAT(""&lt;"",GOOGLETRANSLATE(C1184,""en"",""ar""))"),"&lt;عشاق ابن الملك شاول قبيلة بنيامين")</f>
        <v>&lt;عشاق ابن الملك شاول قبيلة بنيامين</v>
      </c>
    </row>
    <row r="1186" ht="15.75" customHeight="1">
      <c r="A1186" s="1" t="s">
        <v>1453</v>
      </c>
      <c r="B1186" s="2" t="s">
        <v>1454</v>
      </c>
      <c r="C1186" s="2"/>
    </row>
    <row r="1187" ht="15.75" customHeight="1">
      <c r="B1187" s="2" t="s">
        <v>1455</v>
      </c>
      <c r="C1187" s="2" t="s">
        <v>1456</v>
      </c>
    </row>
    <row r="1188" ht="15.75" customHeight="1">
      <c r="A1188" s="2" t="s">
        <v>4</v>
      </c>
      <c r="B1188" s="2" t="str">
        <f>IFERROR(__xludf.DUMMYFUNCTION("CONCAT(""&lt;"",GOOGLETRANSLATE(B1187,""en"",""ar""))"),"&lt;إيشهود")</f>
        <v>&lt;إيشهود</v>
      </c>
      <c r="C1188" s="2" t="str">
        <f>IFERROR(__xludf.DUMMYFUNCTION("CONCAT(""&lt;"",GOOGLETRANSLATE(C1187,""en"",""ar""))"),"&lt;إيشهود نجل هاموليتشث. قبيلة ماناس")</f>
        <v>&lt;إيشهود نجل هاموليتشث. قبيلة ماناس</v>
      </c>
    </row>
    <row r="1189" ht="15.75" customHeight="1">
      <c r="A1189" s="1" t="s">
        <v>1457</v>
      </c>
      <c r="B1189" s="2" t="s">
        <v>1458</v>
      </c>
      <c r="C1189" s="2"/>
    </row>
    <row r="1190" ht="15.75" customHeight="1">
      <c r="B1190" s="2" t="s">
        <v>1459</v>
      </c>
      <c r="C1190" s="2" t="s">
        <v>1459</v>
      </c>
    </row>
    <row r="1191" ht="15.75" customHeight="1">
      <c r="A1191" s="2" t="s">
        <v>4</v>
      </c>
      <c r="B1191" s="2" t="str">
        <f>IFERROR(__xludf.DUMMYFUNCTION("CONCAT(""&lt;"",GOOGLETRANSLATE(B1190,""en"",""ar""))"),"&lt;التلميذ")</f>
        <v>&lt;التلميذ</v>
      </c>
      <c r="C1191" s="2" t="str">
        <f>IFERROR(__xludf.DUMMYFUNCTION("CONCAT(""&lt;"",GOOGLETRANSLATE(C1190,""en"",""ar""))"),"&lt;التلميذ")</f>
        <v>&lt;التلميذ</v>
      </c>
    </row>
    <row r="1192" ht="15.75" customHeight="1">
      <c r="A1192" s="1" t="s">
        <v>1460</v>
      </c>
      <c r="B1192" s="2" t="s">
        <v>1461</v>
      </c>
      <c r="C1192" s="2"/>
    </row>
    <row r="1193" ht="15.75" customHeight="1">
      <c r="B1193" s="2" t="s">
        <v>1462</v>
      </c>
    </row>
    <row r="1194" ht="15.75" customHeight="1">
      <c r="A1194" s="2" t="s">
        <v>4</v>
      </c>
      <c r="B1194" s="2" t="str">
        <f>IFERROR(__xludf.DUMMYFUNCTION("CONCAT(""&lt;"",GOOGLETRANSLATE(B1193,""en"",""ar""))"),"&lt;بطل")</f>
        <v>&lt;بطل</v>
      </c>
      <c r="C1194" s="2"/>
    </row>
    <row r="1195" ht="15.75" customHeight="1">
      <c r="A1195" s="1" t="s">
        <v>1463</v>
      </c>
      <c r="B1195" s="2" t="s">
        <v>1464</v>
      </c>
      <c r="C1195" s="2"/>
    </row>
    <row r="1196" ht="15.75" customHeight="1">
      <c r="B1196" s="2" t="s">
        <v>1465</v>
      </c>
      <c r="C1196" s="2" t="s">
        <v>1465</v>
      </c>
    </row>
    <row r="1197" ht="15.75" customHeight="1">
      <c r="A1197" s="2" t="s">
        <v>4</v>
      </c>
      <c r="B1197" s="2" t="str">
        <f>IFERROR(__xludf.DUMMYFUNCTION("CONCAT(""&lt;"",GOOGLETRANSLATE(B1196,""en"",""ar""))"),"&lt;ish-tob")</f>
        <v>&lt;ish-tob</v>
      </c>
      <c r="C1197" s="2" t="str">
        <f>IFERROR(__xludf.DUMMYFUNCTION("CONCAT(""&lt;"",GOOGLETRANSLATE(C1196,""en"",""ar""))"),"&lt;ish-tob")</f>
        <v>&lt;ish-tob</v>
      </c>
    </row>
    <row r="1198" ht="15.75" customHeight="1">
      <c r="A1198" s="1" t="s">
        <v>1466</v>
      </c>
      <c r="B1198" s="2" t="s">
        <v>1467</v>
      </c>
      <c r="C1198" s="2"/>
    </row>
    <row r="1199" ht="15.75" customHeight="1">
      <c r="B1199" s="2" t="s">
        <v>1468</v>
      </c>
      <c r="C1199" s="2" t="s">
        <v>1469</v>
      </c>
    </row>
    <row r="1200" ht="15.75" customHeight="1">
      <c r="A1200" s="2" t="s">
        <v>4</v>
      </c>
      <c r="B1200" s="2" t="str">
        <f>IFERROR(__xludf.DUMMYFUNCTION("CONCAT(""&lt;"",GOOGLETRANSLATE(B1199,""en"",""ar""))"),"&lt;هنالك")</f>
        <v>&lt;هنالك</v>
      </c>
      <c r="C1200" s="2" t="str">
        <f>IFERROR(__xludf.DUMMYFUNCTION("CONCAT(""&lt;"",GOOGLETRANSLATE(C1199,""en"",""ar""))"),"&lt;إيثاي ابن ربياي محارب؛ وقت داود")</f>
        <v>&lt;إيثاي ابن ربياي محارب؛ وقت داود</v>
      </c>
    </row>
    <row r="1201" ht="15.75" customHeight="1">
      <c r="A1201" s="1" t="s">
        <v>1470</v>
      </c>
      <c r="B1201" s="2" t="s">
        <v>1471</v>
      </c>
      <c r="C1201" s="2"/>
    </row>
    <row r="1202" ht="15.75" customHeight="1">
      <c r="B1202" s="2" t="s">
        <v>1472</v>
      </c>
      <c r="C1202" s="2" t="s">
        <v>1473</v>
      </c>
    </row>
    <row r="1203" ht="15.75" customHeight="1">
      <c r="A1203" s="2" t="s">
        <v>4</v>
      </c>
      <c r="B1203" s="2" t="str">
        <f>IFERROR(__xludf.DUMMYFUNCTION("CONCAT(""&lt;"",GOOGLETRANSLATE(B1202,""en"",""ar""))"),"&lt;إيهيل")</f>
        <v>&lt;إيهيل</v>
      </c>
      <c r="C1203" s="2" t="str">
        <f>IFERROR(__xludf.DUMMYFUNCTION("CONCAT(""&lt;"",GOOGLETRANSLATE(C1202,""en"",""ar""))"),"&lt;(أ) إيهيل ؛ ابن جيشايا ؛ سلف سالو ، قبيلة بنيامين ، بعد المنفى ؛ (ب) إيهيل ؛ رجل")</f>
        <v>&lt;(أ) إيهيل ؛ ابن جيشايا ؛ سلف سالو ، قبيلة بنيامين ، بعد المنفى ؛ (ب) إيهيل ؛ رجل</v>
      </c>
    </row>
    <row r="1204" ht="15.75" customHeight="1">
      <c r="A1204" s="1" t="s">
        <v>1474</v>
      </c>
      <c r="B1204" s="2" t="s">
        <v>1475</v>
      </c>
      <c r="C1204" s="2"/>
    </row>
    <row r="1205" ht="15.75" customHeight="1">
      <c r="B1205" s="2" t="s">
        <v>1476</v>
      </c>
      <c r="C1205" s="2" t="s">
        <v>1477</v>
      </c>
    </row>
    <row r="1206" ht="15.75" customHeight="1">
      <c r="A1206" s="2" t="s">
        <v>4</v>
      </c>
      <c r="B1206" s="2" t="str">
        <f>IFERROR(__xludf.DUMMYFUNCTION("CONCAT(""&lt;"",GOOGLETRANSLATE(B1205,""en"",""ar""))"),"&lt;ithamar")</f>
        <v>&lt;ithamar</v>
      </c>
      <c r="C1206" s="2" t="str">
        <f>IFERROR(__xludf.DUMMYFUNCTION("CONCAT(""&lt;"",GOOGLETRANSLATE(C1205,""en"",""ar""))"),"&lt;ithamar ابن هارون كاهن؛ قبيلة ليفي")</f>
        <v>&lt;ithamar ابن هارون كاهن؛ قبيلة ليفي</v>
      </c>
    </row>
    <row r="1207" ht="15.75" customHeight="1">
      <c r="A1207" s="1" t="s">
        <v>1478</v>
      </c>
      <c r="B1207" s="2" t="s">
        <v>1479</v>
      </c>
      <c r="C1207" s="2"/>
    </row>
    <row r="1208" ht="15.75" customHeight="1">
      <c r="B1208" s="2" t="s">
        <v>1480</v>
      </c>
    </row>
    <row r="1209" ht="15.75" customHeight="1">
      <c r="A1209" s="2" t="s">
        <v>4</v>
      </c>
      <c r="B1209" s="2" t="str">
        <f>IFERROR(__xludf.DUMMYFUNCTION("CONCAT(""&lt;"",GOOGLETRANSLATE(B1208,""en"",""ar""))"),"&lt;قوي")</f>
        <v>&lt;قوي</v>
      </c>
      <c r="C1209" s="2"/>
    </row>
    <row r="1210" ht="15.75" customHeight="1">
      <c r="A1210" s="1" t="s">
        <v>1481</v>
      </c>
      <c r="B1210" s="2" t="s">
        <v>1482</v>
      </c>
      <c r="C1210" s="2"/>
    </row>
    <row r="1211" ht="15.75" customHeight="1">
      <c r="B1211" s="2" t="s">
        <v>1483</v>
      </c>
      <c r="C1211" s="2" t="s">
        <v>1484</v>
      </c>
    </row>
    <row r="1212" ht="15.75" customHeight="1">
      <c r="A1212" s="2" t="s">
        <v>4</v>
      </c>
      <c r="B1212" s="2" t="str">
        <f>IFERROR(__xludf.DUMMYFUNCTION("CONCAT(""&lt;"",GOOGLETRANSLATE(B1211,""en"",""ar""))"),"&lt;إيثان")</f>
        <v>&lt;إيثان</v>
      </c>
      <c r="C1212" s="2" t="str">
        <f>IFERROR(__xludf.DUMMYFUNCTION("CONCAT(""&lt;"",GOOGLETRANSLATE(C1211,""en"",""ar""))"),"&lt;(1A) مليئة دائمًا بالماء الجاري ؛ (1 ب) شركة ، ثابت ؛ (1C) اسم الشهر (حيث أنهار everflowing فقط ماء) ؛ ما قبل الاستفادة ؛ سبتمبر اكتوبر؛ (2 أ) إيثان ؛ ابن زيرا قبيلة يهوذا (2 ب) إيثان ؛ رجل حكيم يخدم ديفيد. نسل زيرا. قبيلة يهوذا (2C) إيثان ؛ ابن زيماه ؛ "&amp;"سلف أساف. قبيلة ليفي (2D) إيثان ؛ نجل كيشي ، كوشايا ؛ مغني المعبد قبيلة ليفي")</f>
        <v>&lt;(1A) مليئة دائمًا بالماء الجاري ؛ (1 ب) شركة ، ثابت ؛ (1C) اسم الشهر (حيث أنهار everflowing فقط ماء) ؛ ما قبل الاستفادة ؛ سبتمبر اكتوبر؛ (2 أ) إيثان ؛ ابن زيرا قبيلة يهوذا (2 ب) إيثان ؛ رجل حكيم يخدم ديفيد. نسل زيرا. قبيلة يهوذا (2C) إيثان ؛ ابن زيماه ؛ سلف أساف. قبيلة ليفي (2D) إيثان ؛ نجل كيشي ، كوشايا ؛ مغني المعبد قبيلة ليفي</v>
      </c>
    </row>
    <row r="1213" ht="15.75" customHeight="1">
      <c r="A1213" s="1" t="s">
        <v>1485</v>
      </c>
      <c r="B1213" s="2" t="s">
        <v>1486</v>
      </c>
      <c r="C1213" s="2"/>
    </row>
    <row r="1214" ht="15.75" customHeight="1">
      <c r="B1214" s="2" t="s">
        <v>1487</v>
      </c>
      <c r="C1214" s="2" t="s">
        <v>1487</v>
      </c>
    </row>
    <row r="1215" ht="15.75" customHeight="1">
      <c r="A1215" s="2" t="s">
        <v>4</v>
      </c>
      <c r="B1215" s="2" t="str">
        <f>IFERROR(__xludf.DUMMYFUNCTION("CONCAT(""&lt;"",GOOGLETRANSLATE(B1214,""en"",""ar""))"),"&lt;إيثانيم")</f>
        <v>&lt;إيثانيم</v>
      </c>
      <c r="C1215" s="2" t="str">
        <f>IFERROR(__xludf.DUMMYFUNCTION("CONCAT(""&lt;"",GOOGLETRANSLATE(C1214,""en"",""ar""))"),"&lt;إيثانيم")</f>
        <v>&lt;إيثانيم</v>
      </c>
    </row>
    <row r="1216" ht="15.75" customHeight="1">
      <c r="A1216" s="1" t="s">
        <v>1488</v>
      </c>
      <c r="B1216" s="2" t="s">
        <v>1489</v>
      </c>
      <c r="C1216" s="2"/>
    </row>
    <row r="1217" ht="15.75" customHeight="1">
      <c r="B1217" s="2" t="s">
        <v>1490</v>
      </c>
      <c r="C1217" s="2" t="s">
        <v>1491</v>
      </c>
    </row>
    <row r="1218" ht="15.75" customHeight="1">
      <c r="A1218" s="2" t="s">
        <v>4</v>
      </c>
      <c r="B1218" s="2" t="str">
        <f>IFERROR(__xludf.DUMMYFUNCTION("CONCAT(""&lt;"",GOOGLETRANSLATE(B1217,""en"",""ar""))"),"&lt;بالتاكيد")</f>
        <v>&lt;بالتاكيد</v>
      </c>
      <c r="C1218" s="2" t="str">
        <f>IFERROR(__xludf.DUMMYFUNCTION("CONCAT(""&lt;"",GOOGLETRANSLATE(C1217,""en"",""ar""))"),"&lt;بالتأكيد؛ فقط")</f>
        <v>&lt;بالتأكيد؛ فقط</v>
      </c>
    </row>
    <row r="1219" ht="15.75" customHeight="1">
      <c r="A1219" s="1" t="s">
        <v>1492</v>
      </c>
      <c r="B1219" s="2" t="s">
        <v>1493</v>
      </c>
      <c r="C1219" s="2"/>
    </row>
    <row r="1220" ht="15.75" customHeight="1">
      <c r="B1220" s="2" t="s">
        <v>1494</v>
      </c>
      <c r="C1220" s="2" t="s">
        <v>1495</v>
      </c>
    </row>
    <row r="1221" ht="15.75" customHeight="1">
      <c r="A1221" s="2" t="s">
        <v>4</v>
      </c>
      <c r="B1221" s="2" t="str">
        <f>IFERROR(__xludf.DUMMYFUNCTION("CONCAT(""&lt;"",GOOGLETRANSLATE(B1220,""en"",""ar""))"),"&lt;أكاد")</f>
        <v>&lt;أكاد</v>
      </c>
      <c r="C1221" s="2" t="str">
        <f>IFERROR(__xludf.DUMMYFUNCTION("CONCAT(""&lt;"",GOOGLETRANSLATE(C1220,""en"",""ar""))"),"&lt;أكساد بلدة؛ بلاد ما بين النهرين")</f>
        <v>&lt;أكساد بلدة؛ بلاد ما بين النهرين</v>
      </c>
    </row>
    <row r="1222" ht="15.75" customHeight="1">
      <c r="A1222" s="1" t="s">
        <v>1496</v>
      </c>
      <c r="B1222" s="2" t="s">
        <v>1497</v>
      </c>
      <c r="C1222" s="2"/>
    </row>
    <row r="1223" ht="15.75" customHeight="1">
      <c r="B1223" s="2" t="s">
        <v>1498</v>
      </c>
      <c r="C1223" s="2" t="s">
        <v>1499</v>
      </c>
    </row>
    <row r="1224" ht="15.75" customHeight="1">
      <c r="A1224" s="2" t="s">
        <v>4</v>
      </c>
      <c r="B1224" s="2" t="str">
        <f>IFERROR(__xludf.DUMMYFUNCTION("CONCAT(""&lt;"",GOOGLETRANSLATE(B1223,""en"",""ar""))"),"&lt;خادع")</f>
        <v>&lt;خادع</v>
      </c>
      <c r="C1224" s="2" t="str">
        <f>IFERROR(__xludf.DUMMYFUNCTION("CONCAT(""&lt;"",GOOGLETRANSLATE(C1223,""en"",""ar""))"),"&lt;خداع")</f>
        <v>&lt;خداع</v>
      </c>
    </row>
    <row r="1225" ht="15.75" customHeight="1">
      <c r="A1225" s="1" t="s">
        <v>1500</v>
      </c>
      <c r="B1225" s="2" t="s">
        <v>1501</v>
      </c>
      <c r="C1225" s="2"/>
    </row>
    <row r="1226" ht="15.75" customHeight="1">
      <c r="B1226" s="2" t="s">
        <v>1502</v>
      </c>
      <c r="C1226" s="2" t="s">
        <v>1503</v>
      </c>
    </row>
    <row r="1227" ht="15.75" customHeight="1">
      <c r="A1227" s="2" t="s">
        <v>4</v>
      </c>
      <c r="B1227" s="2" t="str">
        <f>IFERROR(__xludf.DUMMYFUNCTION("CONCAT(""&lt;"",GOOGLETRANSLATE(B1226,""en"",""ar""))"),"&lt;أشبي")</f>
        <v>&lt;أشبي</v>
      </c>
      <c r="C1227" s="2" t="str">
        <f>IFERROR(__xludf.DUMMYFUNCTION("CONCAT(""&lt;"",GOOGLETRANSLATE(C1226,""en"",""ar""))"),"&lt;(أ) أشبي ؛ بلدة؛ أراضي يهوذا (ب) أشبي ؛ بلدة؛ أراضي آشر")</f>
        <v>&lt;(أ) أشبي ؛ بلدة؛ أراضي يهوذا (ب) أشبي ؛ بلدة؛ أراضي آشر</v>
      </c>
    </row>
    <row r="1228" ht="15.75" customHeight="1">
      <c r="A1228" s="1" t="s">
        <v>1504</v>
      </c>
      <c r="B1228" s="2" t="s">
        <v>1505</v>
      </c>
      <c r="C1228" s="2"/>
    </row>
    <row r="1229" ht="15.75" customHeight="1">
      <c r="B1229" s="2" t="s">
        <v>1506</v>
      </c>
      <c r="C1229" s="2" t="s">
        <v>1506</v>
      </c>
    </row>
    <row r="1230" ht="15.75" customHeight="1">
      <c r="A1230" s="2" t="s">
        <v>4</v>
      </c>
      <c r="B1230" s="2" t="str">
        <f>IFERROR(__xludf.DUMMYFUNCTION("CONCAT(""&lt;"",GOOGLETRANSLATE(B1229,""en"",""ar""))"),"&lt;فظ")</f>
        <v>&lt;فظ</v>
      </c>
      <c r="C1230" s="2" t="str">
        <f>IFERROR(__xludf.DUMMYFUNCTION("CONCAT(""&lt;"",GOOGLETRANSLATE(C1229,""en"",""ar""))"),"&lt;فظ")</f>
        <v>&lt;فظ</v>
      </c>
    </row>
    <row r="1231" ht="15.75" customHeight="1">
      <c r="A1231" s="1" t="s">
        <v>1507</v>
      </c>
      <c r="B1231" s="2" t="s">
        <v>1508</v>
      </c>
      <c r="C1231" s="2"/>
    </row>
    <row r="1232" ht="15.75" customHeight="1">
      <c r="B1232" s="2" t="s">
        <v>1506</v>
      </c>
      <c r="C1232" s="2" t="s">
        <v>1506</v>
      </c>
    </row>
    <row r="1233" ht="15.75" customHeight="1">
      <c r="A1233" s="2" t="s">
        <v>4</v>
      </c>
      <c r="B1233" s="2" t="str">
        <f>IFERROR(__xludf.DUMMYFUNCTION("CONCAT(""&lt;"",GOOGLETRANSLATE(B1232,""en"",""ar""))"),"&lt;فظ")</f>
        <v>&lt;فظ</v>
      </c>
      <c r="C1233" s="2" t="str">
        <f>IFERROR(__xludf.DUMMYFUNCTION("CONCAT(""&lt;"",GOOGLETRANSLATE(C1232,""en"",""ar""))"),"&lt;فظ")</f>
        <v>&lt;فظ</v>
      </c>
    </row>
    <row r="1234" ht="15.75" customHeight="1">
      <c r="A1234" s="1" t="s">
        <v>1509</v>
      </c>
      <c r="B1234" s="2" t="s">
        <v>1510</v>
      </c>
      <c r="C1234" s="2"/>
    </row>
    <row r="1235" ht="15.75" customHeight="1">
      <c r="B1235" s="2" t="s">
        <v>1506</v>
      </c>
      <c r="C1235" s="2" t="s">
        <v>1511</v>
      </c>
    </row>
    <row r="1236" ht="15.75" customHeight="1">
      <c r="A1236" s="2" t="s">
        <v>4</v>
      </c>
      <c r="B1236" s="2" t="str">
        <f>IFERROR(__xludf.DUMMYFUNCTION("CONCAT(""&lt;"",GOOGLETRANSLATE(B1235,""en"",""ar""))"),"&lt;فظ")</f>
        <v>&lt;فظ</v>
      </c>
      <c r="C1236" s="2" t="str">
        <f>IFERROR(__xludf.DUMMYFUNCTION("CONCAT(""&lt;"",GOOGLETRANSLATE(C1235,""en"",""ar""))"),"&lt;القسوة ، الشرسة (الغضب)")</f>
        <v>&lt;القسوة ، الشرسة (الغضب)</v>
      </c>
    </row>
    <row r="1237" ht="15.75" customHeight="1">
      <c r="A1237" s="1" t="s">
        <v>1512</v>
      </c>
      <c r="B1237" s="2" t="s">
        <v>1513</v>
      </c>
      <c r="C1237" s="2"/>
    </row>
    <row r="1238" ht="15.75" customHeight="1">
      <c r="B1238" s="2" t="s">
        <v>1514</v>
      </c>
      <c r="C1238" s="2" t="s">
        <v>1514</v>
      </c>
    </row>
    <row r="1239" ht="15.75" customHeight="1">
      <c r="A1239" s="2" t="s">
        <v>4</v>
      </c>
      <c r="B1239" s="2" t="str">
        <f>IFERROR(__xludf.DUMMYFUNCTION("CONCAT(""&lt;"",GOOGLETRANSLATE(B1238,""en"",""ar""))"),"&lt;طعام")</f>
        <v>&lt;طعام</v>
      </c>
      <c r="C1239" s="2" t="str">
        <f>IFERROR(__xludf.DUMMYFUNCTION("CONCAT(""&lt;"",GOOGLETRANSLATE(C1238,""en"",""ar""))"),"&lt;طعام")</f>
        <v>&lt;طعام</v>
      </c>
    </row>
    <row r="1240" ht="15.75" customHeight="1">
      <c r="A1240" s="1" t="s">
        <v>1515</v>
      </c>
      <c r="B1240" s="2" t="s">
        <v>1516</v>
      </c>
      <c r="C1240" s="2"/>
    </row>
    <row r="1241" ht="15.75" customHeight="1">
      <c r="B1241" s="2" t="s">
        <v>1517</v>
      </c>
      <c r="C1241" s="2" t="s">
        <v>1518</v>
      </c>
    </row>
    <row r="1242" ht="15.75" customHeight="1">
      <c r="A1242" s="2" t="s">
        <v>4</v>
      </c>
      <c r="B1242" s="2" t="str">
        <f>IFERROR(__xludf.DUMMYFUNCTION("CONCAT(""&lt;"",GOOGLETRANSLATE(B1241,""en"",""ar""))"),"&lt;آش")</f>
        <v>&lt;آش</v>
      </c>
      <c r="C1242" s="2" t="str">
        <f>IFERROR(__xludf.DUMMYFUNCTION("CONCAT(""&lt;"",GOOGLETRANSLATE(C1241,""en"",""ar""))"),"&lt;آش. ابن مااكا ملك جاث")</f>
        <v>&lt;آش. ابن مااكا ملك جاث</v>
      </c>
    </row>
    <row r="1243" ht="15.75" customHeight="1">
      <c r="A1243" s="1" t="s">
        <v>1519</v>
      </c>
      <c r="B1243" s="2" t="s">
        <v>1520</v>
      </c>
      <c r="C1243" s="2"/>
    </row>
    <row r="1244" ht="15.75" customHeight="1">
      <c r="B1244" s="2" t="s">
        <v>1521</v>
      </c>
      <c r="C1244" s="2" t="s">
        <v>1522</v>
      </c>
    </row>
    <row r="1245" ht="15.75" customHeight="1">
      <c r="A1245" s="2" t="s">
        <v>4</v>
      </c>
      <c r="B1245" s="2" t="str">
        <f>IFERROR(__xludf.DUMMYFUNCTION("CONCAT(""&lt;"",GOOGLETRANSLATE(B1244,""en"",""ar""))"),"&lt;لتناول الطعام")</f>
        <v>&lt;لتناول الطعام</v>
      </c>
      <c r="C1245" s="2" t="str">
        <f>IFERROR(__xludf.DUMMYFUNCTION("CONCAT(""&lt;"",GOOGLETRANSLATE(C1244,""en"",""ar""))"),"&lt;(أ) QAL لتناول الطعام ؛ (ب) نيف. لتؤكل (وحدة المعالجة المركزية. لتستهلك (د) HIF. لكي تطعم")</f>
        <v>&lt;(أ) QAL لتناول الطعام ؛ (ب) نيف. لتؤكل (وحدة المعالجة المركزية. لتستهلك (د) HIF. لكي تطعم</v>
      </c>
    </row>
    <row r="1246" ht="15.75" customHeight="1">
      <c r="A1246" s="1" t="s">
        <v>1523</v>
      </c>
      <c r="B1246" s="2" t="s">
        <v>1524</v>
      </c>
      <c r="C1246" s="2"/>
    </row>
    <row r="1247" ht="15.75" customHeight="1">
      <c r="B1247" s="2" t="s">
        <v>1525</v>
      </c>
      <c r="C1247" s="2" t="s">
        <v>1522</v>
      </c>
    </row>
    <row r="1248" ht="15.75" customHeight="1">
      <c r="A1248" s="2" t="s">
        <v>4</v>
      </c>
      <c r="B1248" s="2" t="str">
        <f>IFERROR(__xludf.DUMMYFUNCTION("CONCAT(""&lt;"",GOOGLETRANSLATE(B1247,""en"",""ar""))"),"&lt;لالتهام")</f>
        <v>&lt;لالتهام</v>
      </c>
      <c r="C1248" s="2" t="str">
        <f>IFERROR(__xludf.DUMMYFUNCTION("CONCAT(""&lt;"",GOOGLETRANSLATE(C1247,""en"",""ar""))"),"&lt;(أ) QAL لتناول الطعام ؛ (ب) نيف. لتؤكل (وحدة المعالجة المركزية. لتستهلك (د) HIF. لكي تطعم")</f>
        <v>&lt;(أ) QAL لتناول الطعام ؛ (ب) نيف. لتؤكل (وحدة المعالجة المركزية. لتستهلك (د) HIF. لكي تطعم</v>
      </c>
    </row>
    <row r="1249" ht="15.75" customHeight="1">
      <c r="A1249" s="1" t="s">
        <v>1526</v>
      </c>
      <c r="B1249" s="2" t="s">
        <v>1527</v>
      </c>
      <c r="C1249" s="2"/>
    </row>
    <row r="1250" ht="15.75" customHeight="1">
      <c r="B1250" s="2" t="s">
        <v>1514</v>
      </c>
      <c r="C1250" s="2" t="s">
        <v>1514</v>
      </c>
    </row>
    <row r="1251" ht="15.75" customHeight="1">
      <c r="A1251" s="2" t="s">
        <v>4</v>
      </c>
      <c r="B1251" s="2" t="str">
        <f>IFERROR(__xludf.DUMMYFUNCTION("CONCAT(""&lt;"",GOOGLETRANSLATE(B1250,""en"",""ar""))"),"&lt;طعام")</f>
        <v>&lt;طعام</v>
      </c>
      <c r="C1251" s="2" t="str">
        <f>IFERROR(__xludf.DUMMYFUNCTION("CONCAT(""&lt;"",GOOGLETRANSLATE(C1250,""en"",""ar""))"),"&lt;طعام")</f>
        <v>&lt;طعام</v>
      </c>
    </row>
    <row r="1252" ht="15.75" customHeight="1">
      <c r="A1252" s="1" t="s">
        <v>1528</v>
      </c>
      <c r="B1252" s="2" t="s">
        <v>1529</v>
      </c>
      <c r="C1252" s="2"/>
    </row>
    <row r="1253" ht="15.75" customHeight="1">
      <c r="B1253" s="2" t="s">
        <v>1530</v>
      </c>
      <c r="C1253" s="2" t="s">
        <v>1531</v>
      </c>
    </row>
    <row r="1254" ht="15.75" customHeight="1">
      <c r="A1254" s="2" t="s">
        <v>4</v>
      </c>
      <c r="B1254" s="2" t="str">
        <f>IFERROR(__xludf.DUMMYFUNCTION("CONCAT(""&lt;"",GOOGLETRANSLATE(B1253,""en"",""ar""))"),"&lt;Ucal")</f>
        <v>&lt;Ucal</v>
      </c>
      <c r="C1254" s="2" t="str">
        <f>IFERROR(__xludf.DUMMYFUNCTION("CONCAT(""&lt;"",GOOGLETRANSLATE(C1253,""en"",""ar""))"),"&lt;ucal رجل")</f>
        <v>&lt;ucal رجل</v>
      </c>
    </row>
    <row r="1255" ht="15.75" customHeight="1">
      <c r="A1255" s="1" t="s">
        <v>1532</v>
      </c>
      <c r="B1255" s="2" t="s">
        <v>1533</v>
      </c>
      <c r="C1255" s="2"/>
    </row>
    <row r="1256" ht="15.75" customHeight="1">
      <c r="B1256" s="2" t="s">
        <v>1514</v>
      </c>
      <c r="C1256" s="2" t="s">
        <v>1514</v>
      </c>
    </row>
    <row r="1257" ht="15.75" customHeight="1">
      <c r="A1257" s="2" t="s">
        <v>4</v>
      </c>
      <c r="B1257" s="2" t="str">
        <f>IFERROR(__xludf.DUMMYFUNCTION("CONCAT(""&lt;"",GOOGLETRANSLATE(B1256,""en"",""ar""))"),"&lt;طعام")</f>
        <v>&lt;طعام</v>
      </c>
      <c r="C1257" s="2" t="str">
        <f>IFERROR(__xludf.DUMMYFUNCTION("CONCAT(""&lt;"",GOOGLETRANSLATE(C1256,""en"",""ar""))"),"&lt;طعام")</f>
        <v>&lt;طعام</v>
      </c>
    </row>
    <row r="1258" ht="15.75" customHeight="1">
      <c r="A1258" s="1" t="s">
        <v>1534</v>
      </c>
      <c r="B1258" s="2" t="s">
        <v>1535</v>
      </c>
      <c r="C1258" s="2"/>
    </row>
    <row r="1259" ht="15.75" customHeight="1">
      <c r="B1259" s="2" t="s">
        <v>1490</v>
      </c>
      <c r="C1259" s="2" t="s">
        <v>1536</v>
      </c>
    </row>
    <row r="1260" ht="15.75" customHeight="1">
      <c r="A1260" s="2" t="s">
        <v>4</v>
      </c>
      <c r="B1260" s="2" t="str">
        <f>IFERROR(__xludf.DUMMYFUNCTION("CONCAT(""&lt;"",GOOGLETRANSLATE(B1259,""en"",""ar""))"),"&lt;بالتاكيد")</f>
        <v>&lt;بالتاكيد</v>
      </c>
      <c r="C1260" s="2" t="str">
        <f>IFERROR(__xludf.DUMMYFUNCTION("CONCAT(""&lt;"",GOOGLETRANSLATE(C1259,""en"",""ar""))"),"&lt;التدخل بالتأكيد!")</f>
        <v>&lt;التدخل بالتأكيد!</v>
      </c>
    </row>
    <row r="1261" ht="15.75" customHeight="1">
      <c r="A1261" s="1" t="s">
        <v>1537</v>
      </c>
      <c r="B1261" s="2" t="s">
        <v>1538</v>
      </c>
      <c r="C1261" s="2"/>
    </row>
    <row r="1262" ht="15.75" customHeight="1">
      <c r="B1262" s="2" t="s">
        <v>1539</v>
      </c>
      <c r="C1262" s="2" t="s">
        <v>1540</v>
      </c>
    </row>
    <row r="1263" ht="15.75" customHeight="1">
      <c r="A1263" s="2" t="s">
        <v>4</v>
      </c>
      <c r="B1263" s="2" t="str">
        <f>IFERROR(__xludf.DUMMYFUNCTION("CONCAT(""&lt;"",GOOGLETRANSLATE(B1262,""en"",""ar""))"),"&lt;لتشتهى")</f>
        <v>&lt;لتشتهى</v>
      </c>
      <c r="C1263" s="2" t="str">
        <f>IFERROR(__xludf.DUMMYFUNCTION("CONCAT(""&lt;"",GOOGLETRANSLATE(C1262,""en"",""ar""))"),"&lt;QAL للضغط")</f>
        <v>&lt;QAL للضغط</v>
      </c>
    </row>
    <row r="1264" ht="15.75" customHeight="1">
      <c r="A1264" s="1" t="s">
        <v>1541</v>
      </c>
      <c r="B1264" s="2" t="s">
        <v>1542</v>
      </c>
      <c r="C1264" s="2"/>
    </row>
    <row r="1265" ht="15.75" customHeight="1">
      <c r="B1265" s="2" t="s">
        <v>1543</v>
      </c>
      <c r="C1265" s="2" t="s">
        <v>1544</v>
      </c>
    </row>
    <row r="1266" ht="15.75" customHeight="1">
      <c r="A1266" s="2" t="s">
        <v>4</v>
      </c>
      <c r="B1266" s="2" t="str">
        <f>IFERROR(__xludf.DUMMYFUNCTION("CONCAT(""&lt;"",GOOGLETRANSLATE(B1265,""en"",""ar""))"),"&lt;حرج")</f>
        <v>&lt;حرج</v>
      </c>
      <c r="C1266" s="2" t="str">
        <f>IFERROR(__xludf.DUMMYFUNCTION("CONCAT(""&lt;"",GOOGLETRANSLATE(C1265,""en"",""ar""))"),"&lt;ضغط")</f>
        <v>&lt;ضغط</v>
      </c>
    </row>
    <row r="1267" ht="15.75" customHeight="1">
      <c r="A1267" s="1" t="s">
        <v>1545</v>
      </c>
      <c r="B1267" s="2" t="s">
        <v>1546</v>
      </c>
      <c r="C1267" s="2"/>
    </row>
    <row r="1268" ht="15.75" customHeight="1">
      <c r="B1268" s="2" t="s">
        <v>1547</v>
      </c>
      <c r="C1268" s="2" t="s">
        <v>1547</v>
      </c>
    </row>
    <row r="1269" ht="15.75" customHeight="1">
      <c r="A1269" s="2" t="s">
        <v>4</v>
      </c>
      <c r="B1269" s="2" t="str">
        <f>IFERROR(__xludf.DUMMYFUNCTION("CONCAT(""&lt;"",GOOGLETRANSLATE(B1268,""en"",""ar""))"),"&lt;مزارع")</f>
        <v>&lt;مزارع</v>
      </c>
      <c r="C1269" s="2" t="str">
        <f>IFERROR(__xludf.DUMMYFUNCTION("CONCAT(""&lt;"",GOOGLETRANSLATE(C1268,""en"",""ar""))"),"&lt;مزارع")</f>
        <v>&lt;مزارع</v>
      </c>
    </row>
    <row r="1270" ht="15.75" customHeight="1">
      <c r="A1270" s="1" t="s">
        <v>1548</v>
      </c>
      <c r="B1270" s="2" t="s">
        <v>1549</v>
      </c>
      <c r="C1270" s="2"/>
    </row>
    <row r="1271" ht="15.75" customHeight="1">
      <c r="B1271" s="2" t="s">
        <v>1550</v>
      </c>
      <c r="C1271" s="2" t="s">
        <v>1551</v>
      </c>
    </row>
    <row r="1272" ht="15.75" customHeight="1">
      <c r="A1272" s="2" t="s">
        <v>4</v>
      </c>
      <c r="B1272" s="2" t="str">
        <f>IFERROR(__xludf.DUMMYFUNCTION("CONCAT(""&lt;"",GOOGLETRANSLATE(B1271,""en"",""ar""))"),"&lt;Achshaph")</f>
        <v>&lt;Achshaph</v>
      </c>
      <c r="C1272" s="2" t="str">
        <f>IFERROR(__xludf.DUMMYFUNCTION("CONCAT(""&lt;"",GOOGLETRANSLATE(C1271,""en"",""ar""))"),"&lt;Achshaph بلدة؛ أراضي آشر")</f>
        <v>&lt;Achshaph بلدة؛ أراضي آشر</v>
      </c>
    </row>
    <row r="1273" ht="15.75" customHeight="1">
      <c r="A1273" s="1" t="s">
        <v>1552</v>
      </c>
      <c r="B1273" s="2" t="s">
        <v>1553</v>
      </c>
      <c r="C1273" s="2"/>
    </row>
    <row r="1274" ht="15.75" customHeight="1">
      <c r="B1274" s="2" t="s">
        <v>1284</v>
      </c>
      <c r="C1274" s="2" t="s">
        <v>1554</v>
      </c>
    </row>
    <row r="1275" ht="15.75" customHeight="1">
      <c r="A1275" s="2" t="s">
        <v>4</v>
      </c>
      <c r="B1275" s="2" t="str">
        <f>IFERROR(__xludf.DUMMYFUNCTION("CONCAT(""&lt;"",GOOGLETRANSLATE(B1274,""en"",""ar""))"),"&lt;لا")</f>
        <v>&lt;لا</v>
      </c>
      <c r="C1275" s="2" t="str">
        <f>IFERROR(__xludf.DUMMYFUNCTION("CONCAT(""&lt;"",GOOGLETRANSLATE(C1274,""en"",""ar""))"),"&lt;الجسيمات لا")</f>
        <v>&lt;الجسيمات لا</v>
      </c>
    </row>
    <row r="1276" ht="15.75" customHeight="1">
      <c r="A1276" s="1" t="s">
        <v>1555</v>
      </c>
      <c r="B1276" s="2" t="s">
        <v>1556</v>
      </c>
      <c r="C1276" s="2"/>
    </row>
    <row r="1277" ht="15.75" customHeight="1">
      <c r="B1277" s="2" t="s">
        <v>1284</v>
      </c>
      <c r="C1277" s="2" t="s">
        <v>1554</v>
      </c>
    </row>
    <row r="1278" ht="15.75" customHeight="1">
      <c r="A1278" s="2" t="s">
        <v>4</v>
      </c>
      <c r="B1278" s="2" t="str">
        <f>IFERROR(__xludf.DUMMYFUNCTION("CONCAT(""&lt;"",GOOGLETRANSLATE(B1277,""en"",""ar""))"),"&lt;لا")</f>
        <v>&lt;لا</v>
      </c>
      <c r="C1278" s="2" t="str">
        <f>IFERROR(__xludf.DUMMYFUNCTION("CONCAT(""&lt;"",GOOGLETRANSLATE(C1277,""en"",""ar""))"),"&lt;الجسيمات لا")</f>
        <v>&lt;الجسيمات لا</v>
      </c>
    </row>
    <row r="1279" ht="15.75" customHeight="1">
      <c r="A1279" s="1" t="s">
        <v>1557</v>
      </c>
      <c r="B1279" s="2" t="s">
        <v>1558</v>
      </c>
      <c r="C1279" s="2"/>
    </row>
    <row r="1280" ht="15.75" customHeight="1">
      <c r="B1280" s="2" t="s">
        <v>1559</v>
      </c>
      <c r="C1280" s="2" t="s">
        <v>1560</v>
      </c>
    </row>
    <row r="1281" ht="15.75" customHeight="1">
      <c r="A1281" s="2" t="s">
        <v>4</v>
      </c>
      <c r="B1281" s="2" t="str">
        <f>IFERROR(__xludf.DUMMYFUNCTION("CONCAT(""&lt;"",GOOGLETRANSLATE(B1280,""en"",""ar""))"),"&lt;إله")</f>
        <v>&lt;إله</v>
      </c>
      <c r="C1281" s="2" t="str">
        <f>IFERROR(__xludf.DUMMYFUNCTION("CONCAT(""&lt;"",GOOGLETRANSLATE(C1280,""en"",""ar""))"),"&lt;(قوة؛ (ب) الله")</f>
        <v>&lt;(قوة؛ (ب) الله</v>
      </c>
    </row>
    <row r="1282" ht="15.75" customHeight="1">
      <c r="A1282" s="1" t="s">
        <v>1561</v>
      </c>
      <c r="B1282" s="2" t="s">
        <v>1562</v>
      </c>
      <c r="C1282" s="2"/>
    </row>
    <row r="1283" ht="15.75" customHeight="1">
      <c r="B1283" s="2" t="s">
        <v>1563</v>
      </c>
    </row>
    <row r="1284" ht="15.75" customHeight="1">
      <c r="A1284" s="2" t="s">
        <v>4</v>
      </c>
      <c r="B1284" s="2" t="str">
        <f>IFERROR(__xludf.DUMMYFUNCTION("CONCAT(""&lt;"",GOOGLETRANSLATE(B1283,""en"",""ar""))"),"&lt;هؤلاء")</f>
        <v>&lt;هؤلاء</v>
      </c>
      <c r="C1284" s="2"/>
    </row>
    <row r="1285" ht="15.75" customHeight="1">
      <c r="A1285" s="1" t="s">
        <v>1564</v>
      </c>
      <c r="B1285" s="2" t="s">
        <v>1565</v>
      </c>
      <c r="C1285" s="2"/>
    </row>
    <row r="1286" ht="15.75" customHeight="1">
      <c r="B1286" s="2" t="s">
        <v>1563</v>
      </c>
    </row>
    <row r="1287" ht="15.75" customHeight="1">
      <c r="A1287" s="2" t="s">
        <v>4</v>
      </c>
      <c r="B1287" s="2" t="str">
        <f>IFERROR(__xludf.DUMMYFUNCTION("CONCAT(""&lt;"",GOOGLETRANSLATE(B1286,""en"",""ar""))"),"&lt;هؤلاء")</f>
        <v>&lt;هؤلاء</v>
      </c>
      <c r="C1287" s="2"/>
    </row>
    <row r="1288" ht="15.75" customHeight="1">
      <c r="A1288" s="1" t="s">
        <v>1566</v>
      </c>
      <c r="B1288" s="2" t="s">
        <v>1567</v>
      </c>
      <c r="C1288" s="2"/>
    </row>
    <row r="1289" ht="15.75" customHeight="1">
      <c r="B1289" s="2" t="s">
        <v>1568</v>
      </c>
      <c r="C1289" s="2" t="s">
        <v>1569</v>
      </c>
    </row>
    <row r="1290" ht="15.75" customHeight="1">
      <c r="A1290" s="2" t="s">
        <v>4</v>
      </c>
      <c r="B1290" s="2" t="str">
        <f>IFERROR(__xludf.DUMMYFUNCTION("CONCAT(""&lt;"",GOOGLETRANSLATE(B1289,""en"",""ar""))"),"&lt;تجاه)")</f>
        <v>&lt;تجاه)</v>
      </c>
      <c r="C1290" s="2" t="str">
        <f>IFERROR(__xludf.DUMMYFUNCTION("CONCAT(""&lt;"",GOOGLETRANSLATE(C1289,""en"",""ar""))"),"&lt;حرف الجر ل")</f>
        <v>&lt;حرف الجر ل</v>
      </c>
    </row>
    <row r="1291" ht="15.75" customHeight="1">
      <c r="A1291" s="1" t="s">
        <v>1570</v>
      </c>
      <c r="B1291" s="2" t="s">
        <v>1571</v>
      </c>
      <c r="C1291" s="2"/>
    </row>
    <row r="1292" ht="15.75" customHeight="1">
      <c r="B1292" s="2" t="s">
        <v>1572</v>
      </c>
      <c r="C1292" s="2" t="s">
        <v>1573</v>
      </c>
    </row>
    <row r="1293" ht="15.75" customHeight="1">
      <c r="A1293" s="2" t="s">
        <v>4</v>
      </c>
      <c r="B1293" s="2" t="str">
        <f>IFERROR(__xludf.DUMMYFUNCTION("CONCAT(""&lt;"",GOOGLETRANSLATE(B1292,""en"",""ar""))"),"&lt;إيلا")</f>
        <v>&lt;إيلا</v>
      </c>
      <c r="C1293" s="2" t="str">
        <f>IFERROR(__xludf.DUMMYFUNCTION("CONCAT(""&lt;"",GOOGLETRANSLATE(C1292,""en"",""ar""))"),"&lt;إيلا والد شيمي ، مسؤول ، وقت الملك سليمان")</f>
        <v>&lt;إيلا والد شيمي ، مسؤول ، وقت الملك سليمان</v>
      </c>
    </row>
    <row r="1294" ht="15.75" customHeight="1">
      <c r="A1294" s="1" t="s">
        <v>1574</v>
      </c>
      <c r="B1294" s="2" t="s">
        <v>1575</v>
      </c>
      <c r="C1294" s="2"/>
    </row>
    <row r="1295" ht="15.75" customHeight="1">
      <c r="B1295" s="2" t="s">
        <v>1576</v>
      </c>
      <c r="C1295" s="2" t="s">
        <v>1576</v>
      </c>
    </row>
    <row r="1296" ht="15.75" customHeight="1">
      <c r="A1296" s="2" t="s">
        <v>4</v>
      </c>
      <c r="B1296" s="2" t="str">
        <f>IFERROR(__xludf.DUMMYFUNCTION("CONCAT(""&lt;"",GOOGLETRANSLATE(B1295,""en"",""ar""))"),"&lt;العلق إسرائيل")</f>
        <v>&lt;العلق إسرائيل</v>
      </c>
      <c r="C1296" s="2" t="str">
        <f>IFERROR(__xludf.DUMMYFUNCTION("CONCAT(""&lt;"",GOOGLETRANSLATE(C1295,""en"",""ar""))"),"&lt;العلق إسرائيل")</f>
        <v>&lt;العلق إسرائيل</v>
      </c>
    </row>
    <row r="1297" ht="15.75" customHeight="1">
      <c r="A1297" s="1" t="s">
        <v>1577</v>
      </c>
      <c r="B1297" s="2" t="s">
        <v>1578</v>
      </c>
      <c r="C1297" s="2"/>
    </row>
    <row r="1298" ht="15.75" customHeight="1">
      <c r="B1298" s="2" t="s">
        <v>1579</v>
      </c>
      <c r="C1298" s="2" t="s">
        <v>1579</v>
      </c>
    </row>
    <row r="1299" ht="15.75" customHeight="1">
      <c r="A1299" s="2" t="s">
        <v>4</v>
      </c>
      <c r="B1299" s="2" t="str">
        <f>IFERROR(__xludf.DUMMYFUNCTION("CONCAT(""&lt;"",GOOGLETRANSLATE(B1298,""en"",""ar""))"),"&lt;البيث إيل")</f>
        <v>&lt;البيث إيل</v>
      </c>
      <c r="C1299" s="2" t="str">
        <f>IFERROR(__xludf.DUMMYFUNCTION("CONCAT(""&lt;"",GOOGLETRANSLATE(C1298,""en"",""ar""))"),"&lt;البيث إيل")</f>
        <v>&lt;البيث إيل</v>
      </c>
    </row>
    <row r="1300" ht="15.75" customHeight="1">
      <c r="A1300" s="1" t="s">
        <v>1580</v>
      </c>
      <c r="B1300" s="2" t="s">
        <v>1581</v>
      </c>
      <c r="C1300" s="2"/>
    </row>
    <row r="1301" ht="15.75" customHeight="1">
      <c r="B1301" s="2" t="s">
        <v>1582</v>
      </c>
      <c r="C1301" s="2" t="s">
        <v>1583</v>
      </c>
    </row>
    <row r="1302" ht="15.75" customHeight="1">
      <c r="A1302" s="2" t="s">
        <v>4</v>
      </c>
      <c r="B1302" s="2" t="str">
        <f>IFERROR(__xludf.DUMMYFUNCTION("CONCAT(""&lt;"",GOOGLETRANSLATE(B1301,""en"",""ar""))"),"&lt;يشيد")</f>
        <v>&lt;يشيد</v>
      </c>
      <c r="C1302" s="2" t="str">
        <f>IFERROR(__xludf.DUMMYFUNCTION("CONCAT(""&lt;"",GOOGLETRANSLATE(C1301,""en"",""ar""))"),"&lt;البرد")</f>
        <v>&lt;البرد</v>
      </c>
    </row>
    <row r="1303" ht="15.75" customHeight="1">
      <c r="A1303" s="1" t="s">
        <v>1584</v>
      </c>
      <c r="B1303" s="2" t="s">
        <v>1585</v>
      </c>
      <c r="C1303" s="2"/>
    </row>
    <row r="1304" ht="15.75" customHeight="1">
      <c r="B1304" s="2" t="s">
        <v>1586</v>
      </c>
    </row>
    <row r="1305" ht="15.75" customHeight="1">
      <c r="A1305" s="2" t="s">
        <v>4</v>
      </c>
      <c r="B1305" s="2" t="str">
        <f>IFERROR(__xludf.DUMMYFUNCTION("CONCAT(""&lt;"",GOOGLETRANSLATE(B1304,""en"",""ar""))"),"&lt;ألكوم")</f>
        <v>&lt;ألكوم</v>
      </c>
      <c r="C1305" s="2"/>
    </row>
    <row r="1306" ht="15.75" customHeight="1">
      <c r="A1306" s="1" t="s">
        <v>1587</v>
      </c>
      <c r="B1306" s="2" t="s">
        <v>1588</v>
      </c>
      <c r="C1306" s="2"/>
    </row>
    <row r="1307" ht="15.75" customHeight="1">
      <c r="B1307" s="2" t="s">
        <v>1589</v>
      </c>
      <c r="C1307" s="2" t="s">
        <v>1590</v>
      </c>
    </row>
    <row r="1308" ht="15.75" customHeight="1">
      <c r="A1308" s="2" t="s">
        <v>4</v>
      </c>
      <c r="B1308" s="2" t="str">
        <f>IFERROR(__xludf.DUMMYFUNCTION("CONCAT(""&lt;"",GOOGLETRANSLATE(B1307,""en"",""ar""))"),"&lt;إلداد")</f>
        <v>&lt;إلداد</v>
      </c>
      <c r="C1308" s="2" t="str">
        <f>IFERROR(__xludf.DUMMYFUNCTION("CONCAT(""&lt;"",GOOGLETRANSLATE(C1307,""en"",""ar""))"),"&lt;إلدا شيخ إسرائيل. وقت موسى")</f>
        <v>&lt;إلدا شيخ إسرائيل. وقت موسى</v>
      </c>
    </row>
    <row r="1309" ht="15.75" customHeight="1">
      <c r="A1309" s="1" t="s">
        <v>1591</v>
      </c>
      <c r="B1309" s="2" t="s">
        <v>1592</v>
      </c>
      <c r="C1309" s="2"/>
    </row>
    <row r="1310" ht="15.75" customHeight="1">
      <c r="B1310" s="2" t="s">
        <v>1593</v>
      </c>
      <c r="C1310" s="2" t="s">
        <v>1594</v>
      </c>
    </row>
    <row r="1311" ht="15.75" customHeight="1">
      <c r="A1311" s="2" t="s">
        <v>4</v>
      </c>
      <c r="B1311" s="2" t="str">
        <f>IFERROR(__xludf.DUMMYFUNCTION("CONCAT(""&lt;"",GOOGLETRANSLATE(B1310,""en"",""ar""))"),"&lt;إلدا")</f>
        <v>&lt;إلدا</v>
      </c>
      <c r="C1311" s="2" t="str">
        <f>IFERROR(__xludf.DUMMYFUNCTION("CONCAT(""&lt;"",GOOGLETRANSLATE(C1310,""en"",""ar""))"),"&lt;الفيدا ابن مديان ، ابن كيتورا ، زوجة إبراهيم")</f>
        <v>&lt;الفيدا ابن مديان ، ابن كيتورا ، زوجة إبراهيم</v>
      </c>
    </row>
    <row r="1312" ht="15.75" customHeight="1">
      <c r="A1312" s="1" t="s">
        <v>1595</v>
      </c>
      <c r="B1312" s="2" t="s">
        <v>1596</v>
      </c>
      <c r="C1312" s="2"/>
    </row>
    <row r="1313" ht="15.75" customHeight="1">
      <c r="B1313" s="2" t="s">
        <v>1597</v>
      </c>
      <c r="C1313" s="2" t="s">
        <v>1598</v>
      </c>
    </row>
    <row r="1314" ht="15.75" customHeight="1">
      <c r="A1314" s="2" t="s">
        <v>4</v>
      </c>
      <c r="B1314" s="2" t="str">
        <f>IFERROR(__xludf.DUMMYFUNCTION("CONCAT(""&lt;"",GOOGLETRANSLATE(B1313,""en"",""ar""))"),"&lt;للبكاء")</f>
        <v>&lt;للبكاء</v>
      </c>
      <c r="C1314" s="2" t="str">
        <f>IFERROR(__xludf.DUMMYFUNCTION("CONCAT(""&lt;"",GOOGLETRANSLATE(C1313,""en"",""ar""))"),"&lt;(أ) قل للبكاء ، رثاء")</f>
        <v>&lt;(أ) قل للبكاء ، رثاء</v>
      </c>
    </row>
    <row r="1315" ht="15.75" customHeight="1">
      <c r="A1315" s="1" t="s">
        <v>1599</v>
      </c>
      <c r="B1315" s="2" t="s">
        <v>1600</v>
      </c>
      <c r="C1315" s="2"/>
    </row>
    <row r="1316" ht="15.75" customHeight="1">
      <c r="B1316" s="2" t="s">
        <v>1601</v>
      </c>
      <c r="C1316" s="2" t="s">
        <v>1602</v>
      </c>
    </row>
    <row r="1317" ht="15.75" customHeight="1">
      <c r="A1317" s="2" t="s">
        <v>4</v>
      </c>
      <c r="B1317" s="2" t="str">
        <f>IFERROR(__xludf.DUMMYFUNCTION("CONCAT(""&lt;"",GOOGLETRANSLATE(B1316,""en"",""ar""))"),"&lt;أحلف")</f>
        <v>&lt;أحلف</v>
      </c>
      <c r="C1317" s="2" t="str">
        <f>IFERROR(__xludf.DUMMYFUNCTION("CONCAT(""&lt;"",GOOGLETRANSLATE(C1316,""en"",""ar""))"),"&lt;(ب) QAL لتلفت لعنة. (ج) HIF. للتهديد مع لعنة. (د) أن تكون غير قادر")</f>
        <v>&lt;(ب) QAL لتلفت لعنة. (ج) HIF. للتهديد مع لعنة. (د) أن تكون غير قادر</v>
      </c>
    </row>
    <row r="1318" ht="15.75" customHeight="1">
      <c r="A1318" s="1" t="s">
        <v>1603</v>
      </c>
      <c r="B1318" s="2" t="s">
        <v>1604</v>
      </c>
      <c r="C1318" s="2"/>
    </row>
    <row r="1319" ht="15.75" customHeight="1">
      <c r="B1319" s="2" t="s">
        <v>1605</v>
      </c>
      <c r="C1319" s="2" t="s">
        <v>1606</v>
      </c>
    </row>
    <row r="1320" ht="15.75" customHeight="1">
      <c r="A1320" s="2" t="s">
        <v>4</v>
      </c>
      <c r="B1320" s="2" t="str">
        <f>IFERROR(__xludf.DUMMYFUNCTION("CONCAT(""&lt;"",GOOGLETRANSLATE(B1319,""en"",""ar""))"),"&lt;حلف")</f>
        <v>&lt;حلف</v>
      </c>
      <c r="C1320" s="2" t="str">
        <f>IFERROR(__xludf.DUMMYFUNCTION("CONCAT(""&lt;"",GOOGLETRANSLATE(C1319,""en"",""ar""))"),"&lt;لعنة")</f>
        <v>&lt;لعنة</v>
      </c>
    </row>
    <row r="1321" ht="15.75" customHeight="1">
      <c r="A1321" s="1" t="s">
        <v>1607</v>
      </c>
      <c r="B1321" s="2" t="s">
        <v>1608</v>
      </c>
      <c r="C1321" s="2"/>
    </row>
    <row r="1322" ht="15.75" customHeight="1">
      <c r="B1322" s="2" t="s">
        <v>1609</v>
      </c>
      <c r="C1322" s="2" t="s">
        <v>1610</v>
      </c>
    </row>
    <row r="1323" ht="15.75" customHeight="1">
      <c r="A1323" s="2" t="s">
        <v>4</v>
      </c>
      <c r="B1323" s="2" t="str">
        <f>IFERROR(__xludf.DUMMYFUNCTION("CONCAT(""&lt;"",GOOGLETRANSLATE(B1322,""en"",""ar""))"),"&lt;البلوط")</f>
        <v>&lt;البلوط</v>
      </c>
      <c r="C1323" s="2" t="str">
        <f>IFERROR(__xludf.DUMMYFUNCTION("CONCAT(""&lt;"",GOOGLETRANSLATE(C1322,""en"",""ar""))"),"&lt;(1) شجرة terebinth")</f>
        <v>&lt;(1) شجرة terebinth</v>
      </c>
    </row>
    <row r="1324" ht="15.75" customHeight="1">
      <c r="A1324" s="1" t="s">
        <v>1611</v>
      </c>
      <c r="B1324" s="2" t="s">
        <v>1612</v>
      </c>
      <c r="C1324" s="2"/>
    </row>
    <row r="1325" ht="15.75" customHeight="1">
      <c r="B1325" s="2" t="s">
        <v>1613</v>
      </c>
      <c r="C1325" s="2" t="s">
        <v>1614</v>
      </c>
    </row>
    <row r="1326" ht="15.75" customHeight="1">
      <c r="A1326" s="2" t="s">
        <v>4</v>
      </c>
      <c r="B1326" s="2" t="str">
        <f>IFERROR(__xludf.DUMMYFUNCTION("CONCAT(""&lt;"",GOOGLETRANSLATE(B1325,""en"",""ar""))"),"&lt;elah")</f>
        <v>&lt;elah</v>
      </c>
      <c r="C1326" s="2" t="str">
        <f>IFERROR(__xludf.DUMMYFUNCTION("CONCAT(""&lt;"",GOOGLETRANSLATE(C1325,""en"",""ar""))"),"&lt;(2 أ) علام ؛ رئيس أدوم ؛ (2 ب) علام ؛ ابن باشا ملك إسرائيل (886/85-885/84) ؛ (2C) ELAH ؛ والد هوشيا ، ملك إسرائيل ؛ (2D) Elah ؛ ابن كالب قبيلة يهوذا (2 هـ) علام ؛ ابن أوزي. قبيلة بنيامين بعد المنفى")</f>
        <v>&lt;(2 أ) علام ؛ رئيس أدوم ؛ (2 ب) علام ؛ ابن باشا ملك إسرائيل (886/85-885/84) ؛ (2C) ELAH ؛ والد هوشيا ، ملك إسرائيل ؛ (2D) Elah ؛ ابن كالب قبيلة يهوذا (2 هـ) علام ؛ ابن أوزي. قبيلة بنيامين بعد المنفى</v>
      </c>
    </row>
    <row r="1327" ht="15.75" customHeight="1">
      <c r="A1327" s="1" t="s">
        <v>1615</v>
      </c>
      <c r="B1327" s="2" t="s">
        <v>1616</v>
      </c>
      <c r="C1327" s="2"/>
    </row>
    <row r="1328" ht="15.75" customHeight="1">
      <c r="B1328" s="2" t="s">
        <v>1559</v>
      </c>
      <c r="C1328" s="2" t="s">
        <v>1617</v>
      </c>
    </row>
    <row r="1329" ht="15.75" customHeight="1">
      <c r="A1329" s="2" t="s">
        <v>4</v>
      </c>
      <c r="B1329" s="2" t="str">
        <f>IFERROR(__xludf.DUMMYFUNCTION("CONCAT(""&lt;"",GOOGLETRANSLATE(B1328,""en"",""ar""))"),"&lt;إله")</f>
        <v>&lt;إله</v>
      </c>
      <c r="C1329" s="2" t="str">
        <f>IFERROR(__xludf.DUMMYFUNCTION("CONCAT(""&lt;"",GOOGLETRANSLATE(C1328,""en"",""ar""))"),"&lt;الله الله")</f>
        <v>&lt;الله الله</v>
      </c>
    </row>
    <row r="1330" ht="15.75" customHeight="1">
      <c r="A1330" s="1" t="s">
        <v>1618</v>
      </c>
      <c r="B1330" s="2" t="s">
        <v>1619</v>
      </c>
      <c r="C1330" s="2"/>
    </row>
    <row r="1331" ht="15.75" customHeight="1">
      <c r="B1331" s="2" t="s">
        <v>1609</v>
      </c>
    </row>
    <row r="1332" ht="15.75" customHeight="1">
      <c r="A1332" s="2" t="s">
        <v>4</v>
      </c>
      <c r="B1332" s="2" t="str">
        <f>IFERROR(__xludf.DUMMYFUNCTION("CONCAT(""&lt;"",GOOGLETRANSLATE(B1331,""en"",""ar""))"),"&lt;البلوط")</f>
        <v>&lt;البلوط</v>
      </c>
      <c r="C1332" s="2"/>
    </row>
    <row r="1333" ht="15.75" customHeight="1">
      <c r="A1333" s="1" t="s">
        <v>1620</v>
      </c>
      <c r="B1333" s="2" t="s">
        <v>1621</v>
      </c>
      <c r="C1333" s="2"/>
    </row>
    <row r="1334" ht="15.75" customHeight="1">
      <c r="B1334" s="2" t="s">
        <v>1563</v>
      </c>
    </row>
    <row r="1335" ht="15.75" customHeight="1">
      <c r="A1335" s="2" t="s">
        <v>4</v>
      </c>
      <c r="B1335" s="2" t="str">
        <f>IFERROR(__xludf.DUMMYFUNCTION("CONCAT(""&lt;"",GOOGLETRANSLATE(B1334,""en"",""ar""))"),"&lt;هؤلاء")</f>
        <v>&lt;هؤلاء</v>
      </c>
      <c r="C1335" s="2"/>
    </row>
    <row r="1336" ht="15.75" customHeight="1">
      <c r="A1336" s="1" t="s">
        <v>1622</v>
      </c>
      <c r="B1336" s="2" t="s">
        <v>1565</v>
      </c>
      <c r="C1336" s="2"/>
    </row>
    <row r="1337" ht="15.75" customHeight="1">
      <c r="B1337" s="2" t="s">
        <v>1563</v>
      </c>
    </row>
    <row r="1338" ht="15.75" customHeight="1">
      <c r="A1338" s="2" t="s">
        <v>4</v>
      </c>
      <c r="B1338" s="2" t="str">
        <f>IFERROR(__xludf.DUMMYFUNCTION("CONCAT(""&lt;"",GOOGLETRANSLATE(B1337,""en"",""ar""))"),"&lt;هؤلاء")</f>
        <v>&lt;هؤلاء</v>
      </c>
      <c r="C1338" s="2"/>
    </row>
    <row r="1339" ht="15.75" customHeight="1">
      <c r="A1339" s="1" t="s">
        <v>1623</v>
      </c>
      <c r="B1339" s="2" t="s">
        <v>1624</v>
      </c>
      <c r="C1339" s="2"/>
    </row>
    <row r="1340" ht="15.75" customHeight="1">
      <c r="B1340" s="2" t="s">
        <v>1625</v>
      </c>
      <c r="C1340" s="2" t="s">
        <v>1617</v>
      </c>
    </row>
    <row r="1341" ht="15.75" customHeight="1">
      <c r="A1341" s="2" t="s">
        <v>4</v>
      </c>
      <c r="B1341" s="2" t="str">
        <f>IFERROR(__xludf.DUMMYFUNCTION("CONCAT(""&lt;"",GOOGLETRANSLATE(B1340,""en"",""ar""))"),"&lt;إله")</f>
        <v>&lt;إله</v>
      </c>
      <c r="C1341" s="2" t="str">
        <f>IFERROR(__xludf.DUMMYFUNCTION("CONCAT(""&lt;"",GOOGLETRANSLATE(C1340,""en"",""ar""))"),"&lt;الله الله")</f>
        <v>&lt;الله الله</v>
      </c>
    </row>
    <row r="1342" ht="15.75" customHeight="1">
      <c r="A1342" s="1" t="s">
        <v>1626</v>
      </c>
      <c r="B1342" s="2" t="s">
        <v>1627</v>
      </c>
      <c r="C1342" s="2"/>
    </row>
    <row r="1343" ht="15.75" customHeight="1">
      <c r="B1343" s="2" t="s">
        <v>1628</v>
      </c>
    </row>
    <row r="1344" ht="15.75" customHeight="1">
      <c r="A1344" s="2" t="s">
        <v>4</v>
      </c>
      <c r="B1344" s="2" t="str">
        <f>IFERROR(__xludf.DUMMYFUNCTION("CONCAT(""&lt;"",GOOGLETRANSLATE(B1343,""en"",""ar""))"),"&lt;ها")</f>
        <v>&lt;ها</v>
      </c>
      <c r="C1344" s="2"/>
    </row>
    <row r="1345" ht="15.75" customHeight="1">
      <c r="A1345" s="1" t="s">
        <v>1629</v>
      </c>
      <c r="B1345" s="2" t="s">
        <v>1630</v>
      </c>
      <c r="C1345" s="2"/>
    </row>
    <row r="1346" ht="15.75" customHeight="1">
      <c r="B1346" s="2" t="s">
        <v>1631</v>
      </c>
      <c r="C1346" s="2" t="s">
        <v>1632</v>
      </c>
    </row>
    <row r="1347" ht="15.75" customHeight="1">
      <c r="A1347" s="2" t="s">
        <v>4</v>
      </c>
      <c r="B1347" s="2" t="str">
        <f>IFERROR(__xludf.DUMMYFUNCTION("CONCAT(""&lt;"",GOOGLETRANSLATE(B1346,""en"",""ar""))"),"&lt;يستثني")</f>
        <v>&lt;يستثني</v>
      </c>
      <c r="C1347" s="2" t="str">
        <f>IFERROR(__xludf.DUMMYFUNCTION("CONCAT(""&lt;"",GOOGLETRANSLATE(C1346,""en"",""ar""))"),"&lt;التزامن التواصل: إذا")</f>
        <v>&lt;التزامن التواصل: إذا</v>
      </c>
    </row>
    <row r="1348" ht="15.75" customHeight="1">
      <c r="A1348" s="1" t="s">
        <v>1633</v>
      </c>
      <c r="B1348" s="2" t="s">
        <v>1634</v>
      </c>
      <c r="C1348" s="2"/>
    </row>
    <row r="1349" ht="15.75" customHeight="1">
      <c r="B1349" s="2" t="s">
        <v>1559</v>
      </c>
      <c r="C1349" s="2" t="s">
        <v>1625</v>
      </c>
    </row>
    <row r="1350" ht="15.75" customHeight="1">
      <c r="A1350" s="2" t="s">
        <v>4</v>
      </c>
      <c r="B1350" s="2" t="str">
        <f>IFERROR(__xludf.DUMMYFUNCTION("CONCAT(""&lt;"",GOOGLETRANSLATE(B1349,""en"",""ar""))"),"&lt;إله")</f>
        <v>&lt;إله</v>
      </c>
      <c r="C1350" s="2" t="str">
        <f>IFERROR(__xludf.DUMMYFUNCTION("CONCAT(""&lt;"",GOOGLETRANSLATE(C1349,""en"",""ar""))"),"&lt;إله")</f>
        <v>&lt;إله</v>
      </c>
    </row>
    <row r="1351" ht="15.75" customHeight="1">
      <c r="A1351" s="1" t="s">
        <v>1635</v>
      </c>
      <c r="B1351" s="2" t="s">
        <v>1636</v>
      </c>
      <c r="C1351" s="2"/>
    </row>
    <row r="1352" ht="15.75" customHeight="1">
      <c r="B1352" s="2" t="s">
        <v>1637</v>
      </c>
    </row>
    <row r="1353" ht="15.75" customHeight="1">
      <c r="A1353" s="2" t="s">
        <v>4</v>
      </c>
      <c r="B1353" s="2" t="str">
        <f>IFERROR(__xludf.DUMMYFUNCTION("CONCAT(""&lt;"",GOOGLETRANSLATE(B1352,""en"",""ar""))"),"&lt;عديم القيمة")</f>
        <v>&lt;عديم القيمة</v>
      </c>
      <c r="C1353" s="2"/>
    </row>
    <row r="1354" ht="15.75" customHeight="1">
      <c r="A1354" s="1" t="s">
        <v>1638</v>
      </c>
      <c r="B1354" s="2" t="s">
        <v>1639</v>
      </c>
      <c r="C1354" s="2"/>
    </row>
    <row r="1355" ht="15.75" customHeight="1">
      <c r="B1355" s="2" t="s">
        <v>1640</v>
      </c>
      <c r="C1355" s="2" t="s">
        <v>1641</v>
      </c>
    </row>
    <row r="1356" ht="15.75" customHeight="1">
      <c r="A1356" s="2" t="s">
        <v>4</v>
      </c>
      <c r="B1356" s="2" t="str">
        <f>IFERROR(__xludf.DUMMYFUNCTION("CONCAT(""&lt;"",GOOGLETRANSLATE(B1355,""en"",""ar""))"),"&lt;إلول")</f>
        <v>&lt;إلول</v>
      </c>
      <c r="C1356" s="2" t="str">
        <f>IFERROR(__xludf.DUMMYFUNCTION("CONCAT(""&lt;"",GOOGLETRANSLATE(C1355,""en"",""ar""))"),"&lt;اسم الشهر ؛ ما بعد الانفصال أغسطس سبتمبر")</f>
        <v>&lt;اسم الشهر ؛ ما بعد الانفصال أغسطس سبتمبر</v>
      </c>
    </row>
    <row r="1357" ht="15.75" customHeight="1">
      <c r="A1357" s="1" t="s">
        <v>1642</v>
      </c>
      <c r="B1357" s="2" t="s">
        <v>1643</v>
      </c>
      <c r="C1357" s="2"/>
    </row>
    <row r="1358" ht="15.75" customHeight="1">
      <c r="B1358" s="2" t="s">
        <v>1359</v>
      </c>
      <c r="C1358" s="2" t="s">
        <v>1610</v>
      </c>
    </row>
    <row r="1359" ht="15.75" customHeight="1">
      <c r="A1359" s="2" t="s">
        <v>4</v>
      </c>
      <c r="B1359" s="2" t="str">
        <f>IFERROR(__xludf.DUMMYFUNCTION("CONCAT(""&lt;"",GOOGLETRANSLATE(B1358,""en"",""ar""))"),"&lt;terebinth")</f>
        <v>&lt;terebinth</v>
      </c>
      <c r="C1359" s="2" t="str">
        <f>IFERROR(__xludf.DUMMYFUNCTION("CONCAT(""&lt;"",GOOGLETRANSLATE(C1358,""en"",""ar""))"),"&lt;(1) شجرة terebinth")</f>
        <v>&lt;(1) شجرة terebinth</v>
      </c>
    </row>
    <row r="1360" ht="15.75" customHeight="1">
      <c r="A1360" s="1" t="s">
        <v>1644</v>
      </c>
      <c r="B1360" s="2" t="s">
        <v>1645</v>
      </c>
      <c r="C1360" s="2"/>
    </row>
    <row r="1361" ht="15.75" customHeight="1">
      <c r="B1361" s="2" t="s">
        <v>1609</v>
      </c>
      <c r="C1361" s="2" t="s">
        <v>1646</v>
      </c>
    </row>
    <row r="1362" ht="15.75" customHeight="1">
      <c r="A1362" s="2" t="s">
        <v>4</v>
      </c>
      <c r="B1362" s="2" t="str">
        <f>IFERROR(__xludf.DUMMYFUNCTION("CONCAT(""&lt;"",GOOGLETRANSLATE(B1361,""en"",""ar""))"),"&lt;البلوط")</f>
        <v>&lt;البلوط</v>
      </c>
      <c r="C1362" s="2" t="str">
        <f>IFERROR(__xludf.DUMMYFUNCTION("CONCAT(""&lt;"",GOOGLETRANSLATE(C1361,""en"",""ar""))"),"&lt;(1) شجرة البلوط")</f>
        <v>&lt;(1) شجرة البلوط</v>
      </c>
    </row>
    <row r="1363" ht="15.75" customHeight="1">
      <c r="A1363" s="1" t="s">
        <v>1647</v>
      </c>
      <c r="B1363" s="2" t="s">
        <v>1648</v>
      </c>
      <c r="C1363" s="2"/>
    </row>
    <row r="1364" ht="15.75" customHeight="1">
      <c r="B1364" s="2" t="s">
        <v>1649</v>
      </c>
      <c r="C1364" s="2" t="s">
        <v>1650</v>
      </c>
    </row>
    <row r="1365" ht="15.75" customHeight="1">
      <c r="A1365" s="2" t="s">
        <v>4</v>
      </c>
      <c r="B1365" s="2" t="str">
        <f>IFERROR(__xludf.DUMMYFUNCTION("CONCAT(""&lt;"",GOOGLETRANSLATE(B1364,""en"",""ar""))"),"&lt;Allon")</f>
        <v>&lt;Allon</v>
      </c>
      <c r="C1365" s="2" t="str">
        <f>IFERROR(__xludf.DUMMYFUNCTION("CONCAT(""&lt;"",GOOGLETRANSLATE(C1364,""en"",""ar""))"),"&lt;(2) Allon ؛ ابن جددايا ؛ قبيلة سيمون")</f>
        <v>&lt;(2) Allon ؛ ابن جددايا ؛ قبيلة سيمون</v>
      </c>
    </row>
    <row r="1366" ht="15.75" customHeight="1">
      <c r="A1366" s="1" t="s">
        <v>1651</v>
      </c>
      <c r="B1366" s="2" t="s">
        <v>1652</v>
      </c>
      <c r="C1366" s="2"/>
    </row>
    <row r="1367" ht="15.75" customHeight="1">
      <c r="B1367" s="2" t="s">
        <v>1653</v>
      </c>
      <c r="C1367" s="2" t="s">
        <v>1653</v>
      </c>
    </row>
    <row r="1368" ht="15.75" customHeight="1">
      <c r="A1368" s="2" t="s">
        <v>4</v>
      </c>
      <c r="B1368" s="2" t="str">
        <f>IFERROR(__xludf.DUMMYFUNCTION("CONCAT(""&lt;"",GOOGLETRANSLATE(B1367,""en"",""ar""))"),"&lt;Allon-Bacuth")</f>
        <v>&lt;Allon-Bacuth</v>
      </c>
      <c r="C1368" s="2" t="str">
        <f>IFERROR(__xludf.DUMMYFUNCTION("CONCAT(""&lt;"",GOOGLETRANSLATE(C1367,""en"",""ar""))"),"&lt;Allon-Bacuth")</f>
        <v>&lt;Allon-Bacuth</v>
      </c>
    </row>
    <row r="1369" ht="15.75" customHeight="1">
      <c r="A1369" s="1" t="s">
        <v>1654</v>
      </c>
      <c r="B1369" s="2" t="s">
        <v>1655</v>
      </c>
      <c r="C1369" s="2"/>
    </row>
    <row r="1370" ht="15.75" customHeight="1">
      <c r="B1370" s="2" t="s">
        <v>1656</v>
      </c>
      <c r="C1370" s="2" t="s">
        <v>1657</v>
      </c>
    </row>
    <row r="1371" ht="15.75" customHeight="1">
      <c r="A1371" s="2" t="s">
        <v>4</v>
      </c>
      <c r="B1371" s="2" t="str">
        <f>IFERROR(__xludf.DUMMYFUNCTION("CONCAT(""&lt;"",GOOGLETRANSLATE(B1370,""en"",""ar""))"),"&lt;elonite")</f>
        <v>&lt;elonite</v>
      </c>
      <c r="C1371" s="2" t="str">
        <f>IFERROR(__xludf.DUMMYFUNCTION("CONCAT(""&lt;"",GOOGLETRANSLATE(C1370,""en"",""ar""))"),"&lt;elonite سليل إيلون ، ابن زيبلون")</f>
        <v>&lt;elonite سليل إيلون ، ابن زيبلون</v>
      </c>
    </row>
    <row r="1372" ht="15.75" customHeight="1">
      <c r="A1372" s="1" t="s">
        <v>1658</v>
      </c>
      <c r="B1372" s="2" t="s">
        <v>1659</v>
      </c>
      <c r="C1372" s="2"/>
    </row>
    <row r="1373" ht="15.75" customHeight="1">
      <c r="B1373" s="2" t="s">
        <v>1660</v>
      </c>
      <c r="C1373" s="2" t="s">
        <v>1661</v>
      </c>
    </row>
    <row r="1374" ht="15.75" customHeight="1">
      <c r="A1374" s="2" t="s">
        <v>4</v>
      </c>
      <c r="B1374" s="2" t="str">
        <f>IFERROR(__xludf.DUMMYFUNCTION("CONCAT(""&lt;"",GOOGLETRANSLATE(B1373,""en"",""ar""))"),"&lt;كبح")</f>
        <v>&lt;كبح</v>
      </c>
      <c r="C1374" s="2" t="str">
        <f>IFERROR(__xludf.DUMMYFUNCTION("CONCAT(""&lt;"",GOOGLETRANSLATE(C1373,""en"",""ar""))"),"&lt;(ب) الإثبات ، ترويض")</f>
        <v>&lt;(ب) الإثبات ، ترويض</v>
      </c>
    </row>
    <row r="1375" ht="15.75" customHeight="1">
      <c r="A1375" s="1" t="s">
        <v>1662</v>
      </c>
      <c r="B1375" s="2" t="s">
        <v>1663</v>
      </c>
      <c r="C1375" s="2"/>
    </row>
    <row r="1376" ht="15.75" customHeight="1">
      <c r="B1376" s="2" t="s">
        <v>1664</v>
      </c>
      <c r="C1376" s="2" t="s">
        <v>1665</v>
      </c>
    </row>
    <row r="1377" ht="15.75" customHeight="1">
      <c r="A1377" s="2" t="s">
        <v>4</v>
      </c>
      <c r="B1377" s="2" t="str">
        <f>IFERROR(__xludf.DUMMYFUNCTION("CONCAT(""&lt;"",GOOGLETRANSLATE(B1376,""en"",""ar""))"),"&lt;رئيس")</f>
        <v>&lt;رئيس</v>
      </c>
      <c r="C1377" s="2" t="str">
        <f>IFERROR(__xludf.DUMMYFUNCTION("CONCAT(""&lt;"",GOOGLETRANSLATE(C1376,""en"",""ar""))"),"&lt;(ج) الثور ؛ (د) رئيس")</f>
        <v>&lt;(ج) الثور ؛ (د) رئيس</v>
      </c>
    </row>
    <row r="1378" ht="15.75" customHeight="1">
      <c r="A1378" s="1" t="s">
        <v>1666</v>
      </c>
      <c r="B1378" s="2" t="s">
        <v>1667</v>
      </c>
      <c r="C1378" s="2"/>
    </row>
    <row r="1379" ht="15.75" customHeight="1">
      <c r="B1379" s="2" t="s">
        <v>1668</v>
      </c>
      <c r="C1379" s="2" t="s">
        <v>1669</v>
      </c>
    </row>
    <row r="1380" ht="15.75" customHeight="1">
      <c r="A1380" s="2" t="s">
        <v>4</v>
      </c>
      <c r="B1380" s="2" t="str">
        <f>IFERROR(__xludf.DUMMYFUNCTION("CONCAT(""&lt;"",GOOGLETRANSLATE(B1379,""en"",""ar""))"),"&lt;ألوش")</f>
        <v>&lt;ألوش</v>
      </c>
      <c r="C1380" s="2" t="str">
        <f>IFERROR(__xludf.DUMMYFUNCTION("CONCAT(""&lt;"",GOOGLETRANSLATE(C1379,""en"",""ar""))"),"&lt;ألوش الموقع على طول طريق الخروج")</f>
        <v>&lt;ألوش الموقع على طول طريق الخروج</v>
      </c>
    </row>
    <row r="1381" ht="15.75" customHeight="1">
      <c r="A1381" s="1" t="s">
        <v>1670</v>
      </c>
      <c r="B1381" s="2" t="s">
        <v>1671</v>
      </c>
      <c r="C1381" s="2"/>
    </row>
    <row r="1382" ht="15.75" customHeight="1">
      <c r="B1382" s="2" t="s">
        <v>1672</v>
      </c>
      <c r="C1382" s="2" t="s">
        <v>1673</v>
      </c>
    </row>
    <row r="1383" ht="15.75" customHeight="1">
      <c r="A1383" s="2" t="s">
        <v>4</v>
      </c>
      <c r="B1383" s="2" t="str">
        <f>IFERROR(__xludf.DUMMYFUNCTION("CONCAT(""&lt;"",GOOGLETRANSLATE(B1382,""en"",""ar""))"),"&lt;إلزاباد")</f>
        <v>&lt;إلزاباد</v>
      </c>
      <c r="C1383" s="2" t="str">
        <f>IFERROR(__xludf.DUMMYFUNCTION("CONCAT(""&lt;"",GOOGLETRANSLATE(C1382,""en"",""ar""))"),"&lt;(أ) إلزاباد ؛ محارب؛ قبيلة جاد وقت الملك داود (ب) إلزاباد ؛ نجل شيما. حارس البوابة وقت الملك داود")</f>
        <v>&lt;(أ) إلزاباد ؛ محارب؛ قبيلة جاد وقت الملك داود (ب) إلزاباد ؛ نجل شيما. حارس البوابة وقت الملك داود</v>
      </c>
    </row>
    <row r="1384" ht="15.75" customHeight="1">
      <c r="A1384" s="1" t="s">
        <v>1674</v>
      </c>
      <c r="B1384" s="2" t="s">
        <v>1675</v>
      </c>
      <c r="C1384" s="2"/>
    </row>
    <row r="1385" ht="15.75" customHeight="1">
      <c r="B1385" s="2" t="s">
        <v>1676</v>
      </c>
      <c r="C1385" s="2" t="s">
        <v>1677</v>
      </c>
    </row>
    <row r="1386" ht="15.75" customHeight="1">
      <c r="A1386" s="2" t="s">
        <v>4</v>
      </c>
      <c r="B1386" s="2" t="str">
        <f>IFERROR(__xludf.DUMMYFUNCTION("CONCAT(""&lt;"",GOOGLETRANSLATE(B1385,""en"",""ar""))"),"&lt;تعطي رشوة")</f>
        <v>&lt;تعطي رشوة</v>
      </c>
      <c r="C1386" s="2" t="str">
        <f>IFERROR(__xludf.DUMMYFUNCTION("CONCAT(""&lt;"",GOOGLETRANSLATE(C1385,""en"",""ar""))"),"&lt;نيف. أن تكون فاسدة")</f>
        <v>&lt;نيف. أن تكون فاسدة</v>
      </c>
    </row>
    <row r="1387" ht="15.75" customHeight="1">
      <c r="A1387" s="1" t="s">
        <v>1678</v>
      </c>
      <c r="B1387" s="2" t="s">
        <v>1679</v>
      </c>
      <c r="C1387" s="2"/>
    </row>
    <row r="1388" ht="15.75" customHeight="1">
      <c r="B1388" s="2" t="s">
        <v>1680</v>
      </c>
      <c r="C1388" s="2" t="s">
        <v>1681</v>
      </c>
    </row>
    <row r="1389" ht="15.75" customHeight="1">
      <c r="A1389" s="2" t="s">
        <v>4</v>
      </c>
      <c r="B1389" s="2" t="str">
        <f>IFERROR(__xludf.DUMMYFUNCTION("CONCAT(""&lt;"",GOOGLETRANSLATE(B1388,""en"",""ar""))"),"&lt;إلهانان")</f>
        <v>&lt;إلهانان</v>
      </c>
      <c r="C1389" s="2" t="str">
        <f>IFERROR(__xludf.DUMMYFUNCTION("CONCAT(""&lt;"",GOOGLETRANSLATE(C1388,""en"",""ar""))"),"&lt;إلهانان المحاربون)؛ وقت الملك داود")</f>
        <v>&lt;إلهانان المحاربون)؛ وقت الملك داود</v>
      </c>
    </row>
    <row r="1390" ht="15.75" customHeight="1">
      <c r="A1390" s="1" t="s">
        <v>1682</v>
      </c>
      <c r="B1390" s="2" t="s">
        <v>1683</v>
      </c>
      <c r="C1390" s="2"/>
    </row>
    <row r="1391" ht="15.75" customHeight="1">
      <c r="B1391" s="2" t="s">
        <v>1684</v>
      </c>
      <c r="C1391" s="2" t="s">
        <v>1685</v>
      </c>
    </row>
    <row r="1392" ht="15.75" customHeight="1">
      <c r="A1392" s="2" t="s">
        <v>4</v>
      </c>
      <c r="B1392" s="2" t="str">
        <f>IFERROR(__xludf.DUMMYFUNCTION("CONCAT(""&lt;"",GOOGLETRANSLATE(B1391,""en"",""ar""))"),"&lt;eliab")</f>
        <v>&lt;eliab</v>
      </c>
      <c r="C1392" s="2" t="str">
        <f>IFERROR(__xludf.DUMMYFUNCTION("CONCAT(""&lt;"",GOOGLETRANSLATE(C1391,""en"",""ar""))"),"&lt;(أ) eliab ؛ ابن هيلون رئيس؛ قبيلة زيبلون ؛ وقت موسى (ب) إلياب ؛ والد داثان وأبيرام ؛ قبيلة روبن (ج) إيلياب ؛ الابن الأكبر لجيسي ؛ شقيق ديفيد قبيلة يهوذا (d) אֱלִיהוּא ,אֱלִיאֵל   Eliab; سليل الكاناه ؛ جد صموئيل قبيلة ليفي (هـ) إلياب ؛ مختلف الرجال قبيلة "&amp;"ليفي (و) eliab ؛ محارب؛ قبيلة جاد وقت الملك داود")</f>
        <v>&lt;(أ) eliab ؛ ابن هيلون رئيس؛ قبيلة زيبلون ؛ وقت موسى (ب) إلياب ؛ والد داثان وأبيرام ؛ قبيلة روبن (ج) إيلياب ؛ الابن الأكبر لجيسي ؛ شقيق ديفيد قبيلة يهوذا (d) אֱלִיהוּא ,אֱלִיאֵל   Eliab; سليل الكاناه ؛ جد صموئيل قبيلة ليفي (هـ) إلياب ؛ مختلف الرجال قبيلة ليفي (و) eliab ؛ محارب؛ قبيلة جاد وقت الملك داود</v>
      </c>
    </row>
    <row r="1393" ht="15.75" customHeight="1">
      <c r="A1393" s="1" t="s">
        <v>1686</v>
      </c>
      <c r="B1393" s="2" t="s">
        <v>1687</v>
      </c>
      <c r="C1393" s="2"/>
    </row>
    <row r="1394" ht="15.75" customHeight="1">
      <c r="B1394" s="2" t="s">
        <v>1688</v>
      </c>
      <c r="C1394" s="2" t="s">
        <v>1689</v>
      </c>
    </row>
    <row r="1395" ht="15.75" customHeight="1">
      <c r="A1395" s="2" t="s">
        <v>4</v>
      </c>
      <c r="B1395" s="2" t="str">
        <f>IFERROR(__xludf.DUMMYFUNCTION("CONCAT(""&lt;"",GOOGLETRANSLATE(B1394,""en"",""ar""))"),"&lt;إيلييل")</f>
        <v>&lt;إيلييل</v>
      </c>
      <c r="C1395" s="2" t="str">
        <f>IFERROR(__xludf.DUMMYFUNCTION("CONCAT(""&lt;"",GOOGLETRANSLATE(C1394,""en"",""ar""))"),"&lt;(أ) إيلييل ؛ رأس الأسرة قبيلة ماناسه ؛ (b) אֱלִיהוּא ,אֱלִיאָב   Eliel; سليل الكاناه ؛ سلف صموئيل ، هيمان ؛ قبيلة ليفي (ج) إيلييل ؛ ابن شميى. رأس الأسرة قبيلة بنيامين (د) إيلييل ؛ ابن شاشاك رأس الأسرة قبيلة بنيامين (هـ) إيلييل ؛ محاربين مختلفون ؛ وقت الم"&amp;"لك داود (و) إيلييل ؛ رئيس؛ أحفاد الخليل ؛ قبيلة ليفي (ز) إيلييل ؛ رسمي؛ وقت الملك حزقيا")</f>
        <v>&lt;(أ) إيلييل ؛ رأس الأسرة قبيلة ماناسه ؛ (b) אֱלִיהוּא ,אֱלִיאָב   Eliel; سليل الكاناه ؛ سلف صموئيل ، هيمان ؛ قبيلة ليفي (ج) إيلييل ؛ ابن شميى. رأس الأسرة قبيلة بنيامين (د) إيلييل ؛ ابن شاشاك رأس الأسرة قبيلة بنيامين (هـ) إيلييل ؛ محاربين مختلفون ؛ وقت الملك داود (و) إيلييل ؛ رئيس؛ أحفاد الخليل ؛ قبيلة ليفي (ز) إيلييل ؛ رسمي؛ وقت الملك حزقيا</v>
      </c>
    </row>
    <row r="1396" ht="15.75" customHeight="1">
      <c r="A1396" s="1" t="s">
        <v>1690</v>
      </c>
      <c r="B1396" s="2" t="s">
        <v>1691</v>
      </c>
      <c r="C1396" s="2"/>
    </row>
    <row r="1397" ht="15.75" customHeight="1">
      <c r="B1397" s="2" t="s">
        <v>1692</v>
      </c>
      <c r="C1397" s="2" t="s">
        <v>1693</v>
      </c>
    </row>
    <row r="1398" ht="15.75" customHeight="1">
      <c r="A1398" s="2" t="s">
        <v>4</v>
      </c>
      <c r="B1398" s="2" t="str">
        <f>IFERROR(__xludf.DUMMYFUNCTION("CONCAT(""&lt;"",GOOGLETRANSLATE(B1397,""en"",""ar""))"),"&lt;إيلياتاه")</f>
        <v>&lt;إيلياتاه</v>
      </c>
      <c r="C1398" s="2" t="str">
        <f>IFERROR(__xludf.DUMMYFUNCTION("CONCAT(""&lt;"",GOOGLETRANSLATE(C1397,""en"",""ar""))"),"&lt;إيلياتاه ابن هيمان مغني المعبد وقت الملك داود")</f>
        <v>&lt;إيلياتاه ابن هيمان مغني المعبد وقت الملك داود</v>
      </c>
    </row>
    <row r="1399" ht="15.75" customHeight="1">
      <c r="A1399" s="1" t="s">
        <v>1694</v>
      </c>
      <c r="B1399" s="2" t="s">
        <v>1695</v>
      </c>
      <c r="C1399" s="2"/>
    </row>
    <row r="1400" ht="15.75" customHeight="1">
      <c r="B1400" s="2" t="s">
        <v>1696</v>
      </c>
      <c r="C1400" s="2" t="s">
        <v>1697</v>
      </c>
    </row>
    <row r="1401" ht="15.75" customHeight="1">
      <c r="A1401" s="2" t="s">
        <v>4</v>
      </c>
      <c r="B1401" s="2" t="str">
        <f>IFERROR(__xludf.DUMMYFUNCTION("CONCAT(""&lt;"",GOOGLETRANSLATE(B1400,""en"",""ar""))"),"&lt;إيداداد")</f>
        <v>&lt;إيداداد</v>
      </c>
      <c r="C1401" s="2" t="str">
        <f>IFERROR(__xludf.DUMMYFUNCTION("CONCAT(""&lt;"",GOOGLETRANSLATE(C1400,""en"",""ar""))"),"&lt;إيداداد ابن شيسلون قبيلة بنيامين")</f>
        <v>&lt;إيداداد ابن شيسلون قبيلة بنيامين</v>
      </c>
    </row>
    <row r="1402" ht="15.75" customHeight="1">
      <c r="A1402" s="1" t="s">
        <v>1698</v>
      </c>
      <c r="B1402" s="2" t="s">
        <v>1699</v>
      </c>
      <c r="C1402" s="2"/>
    </row>
    <row r="1403" ht="15.75" customHeight="1">
      <c r="B1403" s="2" t="s">
        <v>1700</v>
      </c>
      <c r="C1403" s="2" t="s">
        <v>1701</v>
      </c>
    </row>
    <row r="1404" ht="15.75" customHeight="1">
      <c r="A1404" s="2" t="s">
        <v>4</v>
      </c>
      <c r="B1404" s="2" t="str">
        <f>IFERROR(__xludf.DUMMYFUNCTION("CONCAT(""&lt;"",GOOGLETRANSLATE(B1403,""en"",""ar""))"),"&lt;إليادا")</f>
        <v>&lt;إليادا</v>
      </c>
      <c r="C1404" s="2" t="str">
        <f>IFERROR(__xludf.DUMMYFUNCTION("CONCAT(""&lt;"",GOOGLETRANSLATE(C1403,""en"",""ar""))"),"&lt;(a) בְּעֶלְיָדָע   Eliada; ابن ديفيد قبيلة يهوذا (ب) إليادا ؛ والد ريزون ، ملك دمشق ؛ (ج) إليادا ؛ رئيس الجيش وقت Jehoshaphat")</f>
        <v>&lt;(a) בְּעֶלְיָדָע   Eliada; ابن ديفيد قبيلة يهوذا (ب) إليادا ؛ والد ريزون ، ملك دمشق ؛ (ج) إليادا ؛ رئيس الجيش وقت Jehoshaphat</v>
      </c>
    </row>
    <row r="1405" ht="15.75" customHeight="1">
      <c r="A1405" s="1" t="s">
        <v>1702</v>
      </c>
      <c r="B1405" s="2" t="s">
        <v>1703</v>
      </c>
      <c r="C1405" s="2"/>
    </row>
    <row r="1406" ht="15.75" customHeight="1">
      <c r="B1406" s="2" t="s">
        <v>1704</v>
      </c>
      <c r="C1406" s="2" t="s">
        <v>1704</v>
      </c>
    </row>
    <row r="1407" ht="15.75" customHeight="1">
      <c r="A1407" s="2" t="s">
        <v>4</v>
      </c>
      <c r="B1407" s="2" t="str">
        <f>IFERROR(__xludf.DUMMYFUNCTION("CONCAT(""&lt;"",GOOGLETRANSLATE(B1406,""en"",""ar""))"),"&lt;ذيل الدهون")</f>
        <v>&lt;ذيل الدهون</v>
      </c>
      <c r="C1407" s="2" t="str">
        <f>IFERROR(__xludf.DUMMYFUNCTION("CONCAT(""&lt;"",GOOGLETRANSLATE(C1406,""en"",""ar""))"),"&lt;ذيل الدهون")</f>
        <v>&lt;ذيل الدهون</v>
      </c>
    </row>
    <row r="1408" ht="15.75" customHeight="1">
      <c r="A1408" s="1" t="s">
        <v>1705</v>
      </c>
      <c r="B1408" s="2" t="s">
        <v>1706</v>
      </c>
      <c r="C1408" s="2"/>
    </row>
    <row r="1409" ht="15.75" customHeight="1">
      <c r="B1409" s="2" t="s">
        <v>1707</v>
      </c>
      <c r="C1409" s="2" t="s">
        <v>1708</v>
      </c>
    </row>
    <row r="1410" ht="15.75" customHeight="1">
      <c r="A1410" s="2" t="s">
        <v>4</v>
      </c>
      <c r="B1410" s="2" t="str">
        <f>IFERROR(__xludf.DUMMYFUNCTION("CONCAT(""&lt;"",GOOGLETRANSLATE(B1409,""en"",""ar""))"),"&lt;إيليا")</f>
        <v>&lt;إيليا</v>
      </c>
      <c r="C1410" s="2" t="str">
        <f>IFERROR(__xludf.DUMMYFUNCTION("CONCAT(""&lt;"",GOOGLETRANSLATE(C1409,""en"",""ar""))"),"&lt;(a) אֵלִיָּהוּ   Elijah; نبي؛ وقت الملك آب ؛ (ب) إيليا ؛ ابن جيرهام رأس الأسرة قبيلة بنيامين (ج) إيليا ؛ مختلف الرجال زوجات أجانب متزوجة بعد المنفى")</f>
        <v>&lt;(a) אֵלִיָּהוּ   Elijah; نبي؛ وقت الملك آب ؛ (ب) إيليا ؛ ابن جيرهام رأس الأسرة قبيلة بنيامين (ج) إيليا ؛ مختلف الرجال زوجات أجانب متزوجة بعد المنفى</v>
      </c>
    </row>
    <row r="1411" ht="15.75" customHeight="1">
      <c r="A1411" s="1" t="s">
        <v>1709</v>
      </c>
      <c r="B1411" s="2" t="s">
        <v>1710</v>
      </c>
      <c r="C1411" s="2"/>
    </row>
    <row r="1412" ht="15.75" customHeight="1">
      <c r="B1412" s="2" t="s">
        <v>1711</v>
      </c>
      <c r="C1412" s="2" t="s">
        <v>1712</v>
      </c>
    </row>
    <row r="1413" ht="15.75" customHeight="1">
      <c r="A1413" s="2" t="s">
        <v>4</v>
      </c>
      <c r="B1413" s="2" t="str">
        <f>IFERROR(__xludf.DUMMYFUNCTION("CONCAT(""&lt;"",GOOGLETRANSLATE(B1412,""en"",""ar""))"),"&lt;إيليهو")</f>
        <v>&lt;إيليهو</v>
      </c>
      <c r="C1413" s="2" t="str">
        <f>IFERROR(__xludf.DUMMYFUNCTION("CONCAT(""&lt;"",GOOGLETRANSLATE(C1412,""en"",""ar""))"),"&lt;(أ) إيليهو ؛ نجل شيما. حارس البوابة قبيلة ليفي (ب) إيليهو ؛ شقيق ديفيد رئيس؛ قبيلة يهوذا (a) אֱלִיאֵל ,אֱלִיאָב   Elihu; سليل الكاناه ؛ جد صموئيل قبيلة ليفي (ب) إيليهو ؛ محارب؛ قبيلة ماناسه ؛ وقت داود (ج) إيليهو ؛ صديق الوظيفة")</f>
        <v>&lt;(أ) إيليهو ؛ نجل شيما. حارس البوابة قبيلة ليفي (ب) إيليهو ؛ شقيق ديفيد رئيس؛ قبيلة يهوذا (a) אֱלִיאֵל ,אֱלִיאָב   Elihu; سليل الكاناه ؛ جد صموئيل قبيلة ليفي (ب) إيليهو ؛ محارب؛ قبيلة ماناسه ؛ وقت داود (ج) إيليهو ؛ صديق الوظيفة</v>
      </c>
    </row>
    <row r="1414" ht="15.75" customHeight="1">
      <c r="A1414" s="1" t="s">
        <v>1713</v>
      </c>
      <c r="B1414" s="2" t="s">
        <v>1714</v>
      </c>
      <c r="C1414" s="2"/>
    </row>
    <row r="1415" ht="15.75" customHeight="1">
      <c r="B1415" s="2" t="s">
        <v>1715</v>
      </c>
      <c r="C1415" s="2" t="s">
        <v>1716</v>
      </c>
    </row>
    <row r="1416" ht="15.75" customHeight="1">
      <c r="A1416" s="2" t="s">
        <v>4</v>
      </c>
      <c r="B1416" s="2" t="str">
        <f>IFERROR(__xludf.DUMMYFUNCTION("CONCAT(""&lt;"",GOOGLETRANSLATE(B1415,""en"",""ar""))"),"&lt;إيليهويناي")</f>
        <v>&lt;إيليهويناي</v>
      </c>
      <c r="C1416" s="2" t="str">
        <f>IFERROR(__xludf.DUMMYFUNCTION("CONCAT(""&lt;"",GOOGLETRANSLATE(C1415,""en"",""ar""))"),"&lt;(أ) إيليهويناي ؛ ابن ميشيلوميا ؛ حارس البوابة وقت الملك داود (ب) إيليهويناي ؛ ابن زيرااهيا ؛ عشيرة Pahath-Moab ؛ بعد المنفى")</f>
        <v>&lt;(أ) إيليهويناي ؛ ابن ميشيلوميا ؛ حارس البوابة وقت الملك داود (ب) إيليهويناي ؛ ابن زيرااهيا ؛ عشيرة Pahath-Moab ؛ بعد المنفى</v>
      </c>
    </row>
    <row r="1417" ht="15.75" customHeight="1">
      <c r="A1417" s="1" t="s">
        <v>1717</v>
      </c>
      <c r="B1417" s="2" t="s">
        <v>1718</v>
      </c>
      <c r="C1417" s="2"/>
    </row>
    <row r="1418" ht="15.75" customHeight="1">
      <c r="B1418" s="2" t="s">
        <v>1719</v>
      </c>
      <c r="C1418" s="2" t="s">
        <v>1720</v>
      </c>
    </row>
    <row r="1419" ht="15.75" customHeight="1">
      <c r="A1419" s="2" t="s">
        <v>4</v>
      </c>
      <c r="B1419" s="2" t="str">
        <f>IFERROR(__xludf.DUMMYFUNCTION("CONCAT(""&lt;"",GOOGLETRANSLATE(B1418,""en"",""ar""))"),"&lt;eLioenai")</f>
        <v>&lt;eLioenai</v>
      </c>
      <c r="C1419" s="2" t="str">
        <f>IFERROR(__xludf.DUMMYFUNCTION("CONCAT(""&lt;"",GOOGLETRANSLATE(C1418,""en"",""ar""))"),"&lt;(أ) Elioenai ؛ سليل Zerubbabel ؛ قبيلة يهوذا (ب) Elioenai ؛ رجل؛ قبيلة سيمون ؛ (ج) Elioenai ؛ ابن بيشر قبيلة بنيامين (د) Elioenai ؛ مختلف الكهنة بعد المنفى (هـ) Elioenai ؛ رجل؛ وقت عزرا")</f>
        <v>&lt;(أ) Elioenai ؛ سليل Zerubbabel ؛ قبيلة يهوذا (ب) Elioenai ؛ رجل؛ قبيلة سيمون ؛ (ج) Elioenai ؛ ابن بيشر قبيلة بنيامين (د) Elioenai ؛ مختلف الكهنة بعد المنفى (هـ) Elioenai ؛ رجل؛ وقت عزرا</v>
      </c>
    </row>
    <row r="1420" ht="15.75" customHeight="1">
      <c r="A1420" s="1" t="s">
        <v>1721</v>
      </c>
      <c r="B1420" s="2" t="s">
        <v>1722</v>
      </c>
      <c r="C1420" s="2"/>
    </row>
    <row r="1421" ht="15.75" customHeight="1">
      <c r="B1421" s="2" t="s">
        <v>1723</v>
      </c>
      <c r="C1421" s="2" t="s">
        <v>1724</v>
      </c>
    </row>
    <row r="1422" ht="15.75" customHeight="1">
      <c r="A1422" s="2" t="s">
        <v>4</v>
      </c>
      <c r="B1422" s="2" t="str">
        <f>IFERROR(__xludf.DUMMYFUNCTION("CONCAT(""&lt;"",GOOGLETRANSLATE(B1421,""en"",""ar""))"),"&lt;eliahba")</f>
        <v>&lt;eliahba</v>
      </c>
      <c r="C1422" s="2" t="str">
        <f>IFERROR(__xludf.DUMMYFUNCTION("CONCAT(""&lt;"",GOOGLETRANSLATE(C1421,""en"",""ar""))"),"&lt;eliahba من Shaalbon ؛ محارب؛ وقت الملك داود")</f>
        <v>&lt;eliahba من Shaalbon ؛ محارب؛ وقت الملك داود</v>
      </c>
    </row>
    <row r="1423" ht="15.75" customHeight="1">
      <c r="A1423" s="1" t="s">
        <v>1725</v>
      </c>
      <c r="B1423" s="2" t="s">
        <v>1726</v>
      </c>
      <c r="C1423" s="2"/>
    </row>
    <row r="1424" ht="15.75" customHeight="1">
      <c r="B1424" s="2" t="s">
        <v>1727</v>
      </c>
      <c r="C1424" s="2" t="s">
        <v>1728</v>
      </c>
    </row>
    <row r="1425" ht="15.75" customHeight="1">
      <c r="A1425" s="2" t="s">
        <v>4</v>
      </c>
      <c r="B1425" s="2" t="str">
        <f>IFERROR(__xludf.DUMMYFUNCTION("CONCAT(""&lt;"",GOOGLETRANSLATE(B1424,""en"",""ar""))"),"&lt;elehoreph")</f>
        <v>&lt;elehoreph</v>
      </c>
      <c r="C1425" s="2" t="str">
        <f>IFERROR(__xludf.DUMMYFUNCTION("CONCAT(""&lt;"",GOOGLETRANSLATE(C1424,""en"",""ar""))"),"&lt;elehoreph ابن شيشا رسمي؛ وقت الملك سليمان")</f>
        <v>&lt;elehoreph ابن شيشا رسمي؛ وقت الملك سليمان</v>
      </c>
    </row>
    <row r="1426" ht="15.75" customHeight="1">
      <c r="A1426" s="1" t="s">
        <v>1729</v>
      </c>
      <c r="B1426" s="2" t="s">
        <v>1730</v>
      </c>
      <c r="C1426" s="2"/>
    </row>
    <row r="1427" ht="15.75" customHeight="1">
      <c r="B1427" s="2" t="s">
        <v>1731</v>
      </c>
      <c r="C1427" s="2" t="s">
        <v>1732</v>
      </c>
    </row>
    <row r="1428" ht="15.75" customHeight="1">
      <c r="A1428" s="2" t="s">
        <v>4</v>
      </c>
      <c r="B1428" s="2" t="str">
        <f>IFERROR(__xludf.DUMMYFUNCTION("CONCAT(""&lt;"",GOOGLETRANSLATE(B1427,""en"",""ar""))"),"&lt;محبوب الجماهير")</f>
        <v>&lt;محبوب الجماهير</v>
      </c>
      <c r="C1428" s="2" t="str">
        <f>IFERROR(__xludf.DUMMYFUNCTION("CONCAT(""&lt;"",GOOGLETRANSLATE(C1427,""en"",""ar""))"),"&lt;(أ) لا شيء ، عبثا ؛ (ب) المعبود")</f>
        <v>&lt;(أ) لا شيء ، عبثا ؛ (ب) المعبود</v>
      </c>
    </row>
    <row r="1429" ht="15.75" customHeight="1">
      <c r="A1429" s="1" t="s">
        <v>1733</v>
      </c>
      <c r="B1429" s="2" t="s">
        <v>1734</v>
      </c>
      <c r="C1429" s="2"/>
    </row>
    <row r="1430" ht="15.75" customHeight="1">
      <c r="B1430" s="2" t="s">
        <v>1735</v>
      </c>
      <c r="C1430" s="2" t="s">
        <v>1736</v>
      </c>
    </row>
    <row r="1431" ht="15.75" customHeight="1">
      <c r="A1431" s="2" t="s">
        <v>4</v>
      </c>
      <c r="B1431" s="2" t="str">
        <f>IFERROR(__xludf.DUMMYFUNCTION("CONCAT(""&lt;"",GOOGLETRANSLATE(B1430,""en"",""ar""))"),"&lt;eleclech")</f>
        <v>&lt;eleclech</v>
      </c>
      <c r="C1431" s="2" t="str">
        <f>IFERROR(__xludf.DUMMYFUNCTION("CONCAT(""&lt;"",GOOGLETRANSLATE(C1430,""en"",""ar""))"),"&lt;ElemeLech رجل من بيت لحم ؛ وقت القضاة")</f>
        <v>&lt;ElemeLech رجل من بيت لحم ؛ وقت القضاة</v>
      </c>
    </row>
    <row r="1432" ht="15.75" customHeight="1">
      <c r="A1432" s="1" t="s">
        <v>1737</v>
      </c>
      <c r="B1432" s="2" t="s">
        <v>1562</v>
      </c>
      <c r="C1432" s="2"/>
    </row>
    <row r="1433" ht="15.75" customHeight="1">
      <c r="B1433" s="2" t="s">
        <v>1563</v>
      </c>
    </row>
    <row r="1434" ht="15.75" customHeight="1">
      <c r="A1434" s="2" t="s">
        <v>4</v>
      </c>
      <c r="B1434" s="2" t="str">
        <f>IFERROR(__xludf.DUMMYFUNCTION("CONCAT(""&lt;"",GOOGLETRANSLATE(B1433,""en"",""ar""))"),"&lt;هؤلاء")</f>
        <v>&lt;هؤلاء</v>
      </c>
      <c r="C1434" s="2"/>
    </row>
    <row r="1435" ht="15.75" customHeight="1">
      <c r="A1435" s="1" t="s">
        <v>1738</v>
      </c>
      <c r="B1435" s="2" t="s">
        <v>1739</v>
      </c>
      <c r="C1435" s="2"/>
    </row>
    <row r="1436" ht="15.75" customHeight="1">
      <c r="B1436" s="2" t="s">
        <v>1740</v>
      </c>
      <c r="C1436" s="2" t="s">
        <v>1741</v>
      </c>
    </row>
    <row r="1437" ht="15.75" customHeight="1">
      <c r="A1437" s="2" t="s">
        <v>4</v>
      </c>
      <c r="B1437" s="2" t="str">
        <f>IFERROR(__xludf.DUMMYFUNCTION("CONCAT(""&lt;"",GOOGLETRANSLATE(B1436,""en"",""ar""))"),"&lt;إلياساف")</f>
        <v>&lt;إلياساف</v>
      </c>
      <c r="C1437" s="2" t="str">
        <f>IFERROR(__xludf.DUMMYFUNCTION("CONCAT(""&lt;"",GOOGLETRANSLATE(C1436,""en"",""ar""))"),"&lt;(أ) إلياساف ؛ ابن ديويل رئيس؛ قبيلة جاد وقت موسى (ب) إلياساف ؛ رجل؛ قبيلة ليفي")</f>
        <v>&lt;(أ) إلياساف ؛ ابن ديويل رئيس؛ قبيلة جاد وقت موسى (ب) إلياساف ؛ رجل؛ قبيلة ليفي</v>
      </c>
    </row>
    <row r="1438" ht="15.75" customHeight="1">
      <c r="A1438" s="1" t="s">
        <v>1742</v>
      </c>
      <c r="B1438" s="2" t="s">
        <v>1743</v>
      </c>
      <c r="C1438" s="2"/>
    </row>
    <row r="1439" ht="15.75" customHeight="1">
      <c r="B1439" s="2" t="s">
        <v>1744</v>
      </c>
      <c r="C1439" s="2" t="s">
        <v>1745</v>
      </c>
    </row>
    <row r="1440" ht="15.75" customHeight="1">
      <c r="A1440" s="2" t="s">
        <v>4</v>
      </c>
      <c r="B1440" s="2" t="str">
        <f>IFERROR(__xludf.DUMMYFUNCTION("CONCAT(""&lt;"",GOOGLETRANSLATE(B1439,""en"",""ar""))"),"&lt;إليزر")</f>
        <v>&lt;إليزر</v>
      </c>
      <c r="C1440" s="2" t="str">
        <f>IFERROR(__xludf.DUMMYFUNCTION("CONCAT(""&lt;"",GOOGLETRANSLATE(C1439,""en"",""ar""))"),"&lt;(أ) إيليزر ؛ عبد إبراهيم (ب) إيليزر ؛ ابن موسى (ج) إيليزر ؛ ابن بيشر قبيلة بنيامين (د) إيليزر ؛ كاهن؛ وقت داود (هـ) إيليزر ؛ ابن زيشري رئيس؛ قبيلة روبن وقت داود (و) إيليزر ؛ ابن دودافاهو ؛ نبي؛ وقت الملك يهوشافات ؛ (ز) إيليزر ؛ مختلف الرجال بعد المنفى")</f>
        <v>&lt;(أ) إيليزر ؛ عبد إبراهيم (ب) إيليزر ؛ ابن موسى (ج) إيليزر ؛ ابن بيشر قبيلة بنيامين (د) إيليزر ؛ كاهن؛ وقت داود (هـ) إيليزر ؛ ابن زيشري رئيس؛ قبيلة روبن وقت داود (و) إيليزر ؛ ابن دودافاهو ؛ نبي؛ وقت الملك يهوشافات ؛ (ز) إيليزر ؛ مختلف الرجال بعد المنفى</v>
      </c>
    </row>
    <row r="1441" ht="15.75" customHeight="1">
      <c r="A1441" s="1" t="s">
        <v>1746</v>
      </c>
      <c r="B1441" s="2" t="s">
        <v>1747</v>
      </c>
      <c r="C1441" s="2"/>
    </row>
    <row r="1442" ht="15.75" customHeight="1">
      <c r="B1442" s="2" t="s">
        <v>1748</v>
      </c>
      <c r="C1442" s="2" t="s">
        <v>1749</v>
      </c>
    </row>
    <row r="1443" ht="15.75" customHeight="1">
      <c r="A1443" s="2" t="s">
        <v>4</v>
      </c>
      <c r="B1443" s="2" t="str">
        <f>IFERROR(__xludf.DUMMYFUNCTION("CONCAT(""&lt;"",GOOGLETRANSLATE(B1442,""en"",""ar""))"),"&lt;إلياناي")</f>
        <v>&lt;إلياناي</v>
      </c>
      <c r="C1443" s="2" t="str">
        <f>IFERROR(__xludf.DUMMYFUNCTION("CONCAT(""&lt;"",GOOGLETRANSLATE(C1442,""en"",""ar""))"),"&lt;إلياناي ؛ ابن شميى. رأس الأسرة قبيلة بنيامين")</f>
        <v>&lt;إلياناي ؛ ابن شميى. رأس الأسرة قبيلة بنيامين</v>
      </c>
    </row>
    <row r="1444" ht="15.75" customHeight="1">
      <c r="A1444" s="1" t="s">
        <v>1750</v>
      </c>
      <c r="B1444" s="2" t="s">
        <v>1751</v>
      </c>
      <c r="C1444" s="2"/>
    </row>
    <row r="1445" ht="15.75" customHeight="1">
      <c r="B1445" s="2" t="s">
        <v>1752</v>
      </c>
      <c r="C1445" s="2" t="s">
        <v>1753</v>
      </c>
    </row>
    <row r="1446" ht="15.75" customHeight="1">
      <c r="A1446" s="2" t="s">
        <v>4</v>
      </c>
      <c r="B1446" s="2" t="str">
        <f>IFERROR(__xludf.DUMMYFUNCTION("CONCAT(""&lt;"",GOOGLETRANSLATE(B1445,""en"",""ar""))"),"&lt;إيليام")</f>
        <v>&lt;إيليام</v>
      </c>
      <c r="C1446" s="2" t="str">
        <f>IFERROR(__xludf.DUMMYFUNCTION("CONCAT(""&lt;"",GOOGLETRANSLATE(C1445,""en"",""ar""))"),"&lt;(a) עַמִּיאֵל   Eliam; والد باتشيبا ، زوجة أوريا ، ديفيد ؛ (ب) إيليام ؛ ابن Ahitophel محارب؛ وقت الملك داود")</f>
        <v>&lt;(a) עַמִּיאֵל   Eliam; والد باتشيبا ، زوجة أوريا ، ديفيد ؛ (ب) إيليام ؛ ابن Ahitophel محارب؛ وقت الملك داود</v>
      </c>
    </row>
    <row r="1447" ht="15.75" customHeight="1">
      <c r="A1447" s="1" t="s">
        <v>1754</v>
      </c>
      <c r="B1447" s="2" t="s">
        <v>1755</v>
      </c>
      <c r="C1447" s="2"/>
    </row>
    <row r="1448" ht="15.75" customHeight="1">
      <c r="B1448" s="2" t="s">
        <v>1756</v>
      </c>
      <c r="C1448" s="2" t="s">
        <v>1757</v>
      </c>
    </row>
    <row r="1449" ht="15.75" customHeight="1">
      <c r="A1449" s="2" t="s">
        <v>4</v>
      </c>
      <c r="B1449" s="2" t="str">
        <f>IFERROR(__xludf.DUMMYFUNCTION("CONCAT(""&lt;"",GOOGLETRANSLATE(B1448,""en"",""ar""))"),"&lt;إليفاز")</f>
        <v>&lt;إليفاز</v>
      </c>
      <c r="C1449" s="2" t="str">
        <f>IFERROR(__xludf.DUMMYFUNCTION("CONCAT(""&lt;"",GOOGLETRANSLATE(C1448,""en"",""ar""))"),"&lt;(أ) إليفاز ؛ ابن عيسو (ب) إليفاز ؛ تيميانيت صديق الوظيفة")</f>
        <v>&lt;(أ) إليفاز ؛ ابن عيسو (ب) إليفاز ؛ تيميانيت صديق الوظيفة</v>
      </c>
    </row>
    <row r="1450" ht="15.75" customHeight="1">
      <c r="A1450" s="1" t="s">
        <v>1758</v>
      </c>
      <c r="B1450" s="2" t="s">
        <v>1759</v>
      </c>
      <c r="C1450" s="2"/>
    </row>
    <row r="1451" ht="15.75" customHeight="1">
      <c r="B1451" s="2" t="s">
        <v>1760</v>
      </c>
      <c r="C1451" s="2" t="s">
        <v>1761</v>
      </c>
    </row>
    <row r="1452" ht="15.75" customHeight="1">
      <c r="A1452" s="2" t="s">
        <v>4</v>
      </c>
      <c r="B1452" s="2" t="str">
        <f>IFERROR(__xludf.DUMMYFUNCTION("CONCAT(""&lt;"",GOOGLETRANSLATE(B1451,""en"",""ar""))"),"&lt;eliphal")</f>
        <v>&lt;eliphal</v>
      </c>
      <c r="C1452" s="2" t="str">
        <f>IFERROR(__xludf.DUMMYFUNCTION("CONCAT(""&lt;"",GOOGLETRANSLATE(C1451,""en"",""ar""))"),"&lt;أليفال ابن أور. محارب؛ وقت الملك داود")</f>
        <v>&lt;أليفال ابن أور. محارب؛ وقت الملك داود</v>
      </c>
    </row>
    <row r="1453" ht="15.75" customHeight="1">
      <c r="A1453" s="1" t="s">
        <v>1762</v>
      </c>
      <c r="B1453" s="2" t="s">
        <v>1763</v>
      </c>
      <c r="C1453" s="2"/>
    </row>
    <row r="1454" ht="15.75" customHeight="1">
      <c r="B1454" s="2" t="s">
        <v>1764</v>
      </c>
      <c r="C1454" s="2" t="s">
        <v>1765</v>
      </c>
    </row>
    <row r="1455" ht="15.75" customHeight="1">
      <c r="A1455" s="2" t="s">
        <v>4</v>
      </c>
      <c r="B1455" s="2" t="str">
        <f>IFERROR(__xludf.DUMMYFUNCTION("CONCAT(""&lt;"",GOOGLETRANSLATE(B1454,""en"",""ar""))"),"&lt;Eliphelehu")</f>
        <v>&lt;Eliphelehu</v>
      </c>
      <c r="C1455" s="2" t="str">
        <f>IFERROR(__xludf.DUMMYFUNCTION("CONCAT(""&lt;"",GOOGLETRANSLATE(C1454,""en"",""ar""))"),"&lt;Eliphelehu ؛ ليفيت وقت الملك داود")</f>
        <v>&lt;Eliphelehu ؛ ليفيت وقت الملك داود</v>
      </c>
    </row>
    <row r="1456" ht="15.75" customHeight="1">
      <c r="A1456" s="1" t="s">
        <v>1766</v>
      </c>
      <c r="B1456" s="2" t="s">
        <v>1767</v>
      </c>
      <c r="C1456" s="2"/>
    </row>
    <row r="1457" ht="15.75" customHeight="1">
      <c r="B1457" s="2" t="s">
        <v>1768</v>
      </c>
      <c r="C1457" s="2" t="s">
        <v>1769</v>
      </c>
    </row>
    <row r="1458" ht="15.75" customHeight="1">
      <c r="A1458" s="2" t="s">
        <v>4</v>
      </c>
      <c r="B1458" s="2" t="str">
        <f>IFERROR(__xludf.DUMMYFUNCTION("CONCAT(""&lt;"",GOOGLETRANSLATE(B1457,""en"",""ar""))"),"&lt;Eliphelet")</f>
        <v>&lt;Eliphelet</v>
      </c>
      <c r="C1458" s="2" t="str">
        <f>IFERROR(__xludf.DUMMYFUNCTION("CONCAT(""&lt;"",GOOGLETRANSLATE(C1457,""en"",""ar""))"),"&lt;(أ) Eliphelet ؛ ابن ديفيد قبيلة يهوذا (ب) Eliphelet ؛ محارب؛ وقت الملك داود (ج) Eliphelet ؛ ابن إيشك. قبيلة بنيامين (د) Eliphelet ؛ مختلف الرجال بعد المنفى")</f>
        <v>&lt;(أ) Eliphelet ؛ ابن ديفيد قبيلة يهوذا (ب) Eliphelet ؛ محارب؛ وقت الملك داود (ج) Eliphelet ؛ ابن إيشك. قبيلة بنيامين (د) Eliphelet ؛ مختلف الرجال بعد المنفى</v>
      </c>
    </row>
    <row r="1459" ht="15.75" customHeight="1">
      <c r="A1459" s="1" t="s">
        <v>1770</v>
      </c>
      <c r="B1459" s="2" t="s">
        <v>1771</v>
      </c>
      <c r="C1459" s="2"/>
    </row>
    <row r="1460" ht="15.75" customHeight="1">
      <c r="B1460" s="2" t="s">
        <v>1772</v>
      </c>
      <c r="C1460" s="2" t="s">
        <v>1773</v>
      </c>
    </row>
    <row r="1461" ht="15.75" customHeight="1">
      <c r="A1461" s="2" t="s">
        <v>4</v>
      </c>
      <c r="B1461" s="2" t="str">
        <f>IFERROR(__xludf.DUMMYFUNCTION("CONCAT(""&lt;"",GOOGLETRANSLATE(B1460,""en"",""ar""))"),"&lt;إليزور")</f>
        <v>&lt;إليزور</v>
      </c>
      <c r="C1461" s="2" t="str">
        <f>IFERROR(__xludf.DUMMYFUNCTION("CONCAT(""&lt;"",GOOGLETRANSLATE(C1460,""en"",""ar""))"),"&lt;إليزور ابن شيدور. رئيس؛ قبيلة روبن وقت موسى")</f>
        <v>&lt;إليزور ابن شيدور. رئيس؛ قبيلة روبن وقت موسى</v>
      </c>
    </row>
    <row r="1462" ht="15.75" customHeight="1">
      <c r="A1462" s="1" t="s">
        <v>1774</v>
      </c>
      <c r="B1462" s="2" t="s">
        <v>1775</v>
      </c>
      <c r="C1462" s="2"/>
    </row>
    <row r="1463" ht="15.75" customHeight="1">
      <c r="B1463" s="2" t="s">
        <v>1776</v>
      </c>
      <c r="C1463" s="2" t="s">
        <v>1777</v>
      </c>
    </row>
    <row r="1464" ht="15.75" customHeight="1">
      <c r="A1464" s="2" t="s">
        <v>4</v>
      </c>
      <c r="B1464" s="2" t="str">
        <f>IFERROR(__xludf.DUMMYFUNCTION("CONCAT(""&lt;"",GOOGLETRANSLATE(B1463,""en"",""ar""))"),"&lt;إليزافان")</f>
        <v>&lt;إليزافان</v>
      </c>
      <c r="C1464" s="2" t="str">
        <f>IFERROR(__xludf.DUMMYFUNCTION("CONCAT(""&lt;"",GOOGLETRANSLATE(C1463,""en"",""ar""))"),"&lt;(a) אֶלְצָפָן   Elizaphan; ابن أوزيل قبيلة ليفي (ب) إليزافان ؛ ابن بارناش رئيس؛ قبيلة زيبلون")</f>
        <v>&lt;(a) אֶלְצָפָן   Elizaphan; ابن أوزيل قبيلة ليفي (ب) إليزافان ؛ ابن بارناش رئيس؛ قبيلة زيبلون</v>
      </c>
    </row>
    <row r="1465" ht="15.75" customHeight="1">
      <c r="A1465" s="1" t="s">
        <v>1778</v>
      </c>
      <c r="B1465" s="2" t="s">
        <v>1779</v>
      </c>
      <c r="C1465" s="2"/>
    </row>
    <row r="1466" ht="15.75" customHeight="1">
      <c r="B1466" s="2" t="s">
        <v>1780</v>
      </c>
      <c r="C1466" s="2" t="s">
        <v>1781</v>
      </c>
    </row>
    <row r="1467" ht="15.75" customHeight="1">
      <c r="A1467" s="2" t="s">
        <v>4</v>
      </c>
      <c r="B1467" s="2" t="str">
        <f>IFERROR(__xludf.DUMMYFUNCTION("CONCAT(""&lt;"",GOOGLETRANSLATE(B1466,""en"",""ar""))"),"&lt;ايلكا")</f>
        <v>&lt;ايلكا</v>
      </c>
      <c r="C1467" s="2" t="str">
        <f>IFERROR(__xludf.DUMMYFUNCTION("CONCAT(""&lt;"",GOOGLETRANSLATE(C1466,""en"",""ar""))"),"&lt;إيليكا من هارود محارب؛ وقت داود")</f>
        <v>&lt;إيليكا من هارود محارب؛ وقت داود</v>
      </c>
    </row>
    <row r="1468" ht="15.75" customHeight="1">
      <c r="A1468" s="1" t="s">
        <v>1782</v>
      </c>
      <c r="B1468" s="2" t="s">
        <v>1783</v>
      </c>
      <c r="C1468" s="2"/>
    </row>
    <row r="1469" ht="15.75" customHeight="1">
      <c r="B1469" s="2" t="s">
        <v>1784</v>
      </c>
      <c r="C1469" s="2" t="s">
        <v>1785</v>
      </c>
    </row>
    <row r="1470" ht="15.75" customHeight="1">
      <c r="A1470" s="2" t="s">
        <v>4</v>
      </c>
      <c r="B1470" s="2" t="str">
        <f>IFERROR(__xludf.DUMMYFUNCTION("CONCAT(""&lt;"",GOOGLETRANSLATE(B1469,""en"",""ar""))"),"&lt;eliakim")</f>
        <v>&lt;eliakim</v>
      </c>
      <c r="C1470" s="2" t="str">
        <f>IFERROR(__xludf.DUMMYFUNCTION("CONCAT(""&lt;"",GOOGLETRANSLATE(C1469,""en"",""ar""))"),"&lt;(أ) eliakim ؛ ابن هيلكيا. رسمي؛ وقت الملك حزقيا ؛ (b) יְהוֹיָקִים   Eliakim; ابن يوشيا ؛ ملك يهودا (ج) إيلياكيم ؛ كاهن؛ بعد المنفى")</f>
        <v>&lt;(أ) eliakim ؛ ابن هيلكيا. رسمي؛ وقت الملك حزقيا ؛ (b) יְהוֹיָקִים   Eliakim; ابن يوشيا ؛ ملك يهودا (ج) إيلياكيم ؛ كاهن؛ بعد المنفى</v>
      </c>
    </row>
    <row r="1471" ht="15.75" customHeight="1">
      <c r="A1471" s="1" t="s">
        <v>1786</v>
      </c>
      <c r="B1471" s="2" t="s">
        <v>1787</v>
      </c>
      <c r="C1471" s="2"/>
    </row>
    <row r="1472" ht="15.75" customHeight="1">
      <c r="B1472" s="2" t="s">
        <v>1788</v>
      </c>
      <c r="C1472" s="2" t="s">
        <v>1789</v>
      </c>
    </row>
    <row r="1473" ht="15.75" customHeight="1">
      <c r="A1473" s="2" t="s">
        <v>4</v>
      </c>
      <c r="B1473" s="2" t="str">
        <f>IFERROR(__xludf.DUMMYFUNCTION("CONCAT(""&lt;"",GOOGLETRANSLATE(B1472,""en"",""ar""))"),"&lt;إليشيبا")</f>
        <v>&lt;إليشيبا</v>
      </c>
      <c r="C1473" s="2" t="str">
        <f>IFERROR(__xludf.DUMMYFUNCTION("CONCAT(""&lt;"",GOOGLETRANSLATE(C1472,""en"",""ar""))"),"&lt;إليشيبا ؛ ابنة Amminadab ؛ زوجة هارون")</f>
        <v>&lt;إليشيبا ؛ ابنة Amminadab ؛ زوجة هارون</v>
      </c>
    </row>
    <row r="1474" ht="15.75" customHeight="1">
      <c r="A1474" s="1" t="s">
        <v>1790</v>
      </c>
      <c r="B1474" s="2" t="s">
        <v>1791</v>
      </c>
      <c r="C1474" s="2"/>
    </row>
    <row r="1475" ht="15.75" customHeight="1">
      <c r="B1475" s="2" t="s">
        <v>1792</v>
      </c>
      <c r="C1475" s="2" t="s">
        <v>1793</v>
      </c>
    </row>
    <row r="1476" ht="15.75" customHeight="1">
      <c r="A1476" s="2" t="s">
        <v>4</v>
      </c>
      <c r="B1476" s="2" t="str">
        <f>IFERROR(__xludf.DUMMYFUNCTION("CONCAT(""&lt;"",GOOGLETRANSLATE(B1475,""en"",""ar""))"),"&lt;إليشاه")</f>
        <v>&lt;إليشاه</v>
      </c>
      <c r="C1476" s="2" t="str">
        <f>IFERROR(__xludf.DUMMYFUNCTION("CONCAT(""&lt;"",GOOGLETRANSLATE(C1475,""en"",""ar""))"),"&lt;إليشا ابن جافان نسل يافث")</f>
        <v>&lt;إليشا ابن جافان نسل يافث</v>
      </c>
    </row>
    <row r="1477" ht="15.75" customHeight="1">
      <c r="A1477" s="1" t="s">
        <v>1794</v>
      </c>
      <c r="B1477" s="2" t="s">
        <v>1795</v>
      </c>
      <c r="C1477" s="2"/>
    </row>
    <row r="1478" ht="15.75" customHeight="1">
      <c r="B1478" s="2" t="s">
        <v>1796</v>
      </c>
      <c r="C1478" s="2" t="s">
        <v>1797</v>
      </c>
    </row>
    <row r="1479" ht="15.75" customHeight="1">
      <c r="A1479" s="2" t="s">
        <v>4</v>
      </c>
      <c r="B1479" s="2" t="str">
        <f>IFERROR(__xludf.DUMMYFUNCTION("CONCAT(""&lt;"",GOOGLETRANSLATE(B1478,""en"",""ar""))"),"&lt;إليشوا")</f>
        <v>&lt;إليشوا</v>
      </c>
      <c r="C1479" s="2" t="str">
        <f>IFERROR(__xludf.DUMMYFUNCTION("CONCAT(""&lt;"",GOOGLETRANSLATE(C1478,""en"",""ar""))"),"&lt;إليشوا ؛ ابن ديفيد قبيلة يهوذا")</f>
        <v>&lt;إليشوا ؛ ابن ديفيد قبيلة يهوذا</v>
      </c>
    </row>
    <row r="1480" ht="15.75" customHeight="1">
      <c r="A1480" s="1" t="s">
        <v>1798</v>
      </c>
      <c r="B1480" s="2" t="s">
        <v>1799</v>
      </c>
      <c r="C1480" s="2"/>
    </row>
    <row r="1481" ht="15.75" customHeight="1">
      <c r="B1481" s="2" t="s">
        <v>1800</v>
      </c>
      <c r="C1481" s="2" t="s">
        <v>1801</v>
      </c>
    </row>
    <row r="1482" ht="15.75" customHeight="1">
      <c r="A1482" s="2" t="s">
        <v>4</v>
      </c>
      <c r="B1482" s="2" t="str">
        <f>IFERROR(__xludf.DUMMYFUNCTION("CONCAT(""&lt;"",GOOGLETRANSLATE(B1481,""en"",""ar""))"),"&lt;eliashib")</f>
        <v>&lt;eliashib</v>
      </c>
      <c r="C1482" s="2" t="str">
        <f>IFERROR(__xludf.DUMMYFUNCTION("CONCAT(""&lt;"",GOOGLETRANSLATE(C1481,""en"",""ar""))"),"&lt;(أ) eliashib ؛ سليل Zerubbabel ؛ قبيلة يهوذا (ب) eliashib ؛ كاهن؛ وقت الملك داود (ج) eliashib ؛ مختلف الرجال زوجات أجانب متزوجة بعد المنفى (د) eliashib ؛ الكاهن الاكبر؛ بعد المنفى")</f>
        <v>&lt;(أ) eliashib ؛ سليل Zerubbabel ؛ قبيلة يهوذا (ب) eliashib ؛ كاهن؛ وقت الملك داود (ج) eliashib ؛ مختلف الرجال زوجات أجانب متزوجة بعد المنفى (د) eliashib ؛ الكاهن الاكبر؛ بعد المنفى</v>
      </c>
    </row>
    <row r="1483" ht="15.75" customHeight="1">
      <c r="A1483" s="1" t="s">
        <v>1802</v>
      </c>
      <c r="B1483" s="2" t="s">
        <v>1803</v>
      </c>
      <c r="C1483" s="2"/>
    </row>
    <row r="1484" ht="15.75" customHeight="1">
      <c r="B1484" s="2" t="s">
        <v>1804</v>
      </c>
      <c r="C1484" s="2" t="s">
        <v>1805</v>
      </c>
    </row>
    <row r="1485" ht="15.75" customHeight="1">
      <c r="A1485" s="2" t="s">
        <v>4</v>
      </c>
      <c r="B1485" s="2" t="str">
        <f>IFERROR(__xludf.DUMMYFUNCTION("CONCAT(""&lt;"",GOOGLETRANSLATE(B1484,""en"",""ar""))"),"&lt;إليشاما")</f>
        <v>&lt;إليشاما</v>
      </c>
      <c r="C1485" s="2" t="str">
        <f>IFERROR(__xludf.DUMMYFUNCTION("CONCAT(""&lt;"",GOOGLETRANSLATE(C1484,""en"",""ar""))"),"&lt;(أ) إليشاما ؛ ابن Ammihud. رئيس؛ قبيلة إفرايم ؛ سلف جوشوا ؛ (ب) إليشاما ؛ ابن ديفيد قبيلة يهوذا (ج) إليشاما ؛ جد إسماعيل. (د) إليشاما ؛ ابن جيكاميا ؛ قبيلة يهوذا (هـ) إليشاما ؛ كاهن؛ وقت Jehoshaphat ؛ (و) إليشاما ؛ رسمي؛ وقت Jehoiakim")</f>
        <v>&lt;(أ) إليشاما ؛ ابن Ammihud. رئيس؛ قبيلة إفرايم ؛ سلف جوشوا ؛ (ب) إليشاما ؛ ابن ديفيد قبيلة يهوذا (ج) إليشاما ؛ جد إسماعيل. (د) إليشاما ؛ ابن جيكاميا ؛ قبيلة يهوذا (هـ) إليشاما ؛ كاهن؛ وقت Jehoshaphat ؛ (و) إليشاما ؛ رسمي؛ وقت Jehoiakim</v>
      </c>
    </row>
    <row r="1486" ht="15.75" customHeight="1">
      <c r="A1486" s="1" t="s">
        <v>1806</v>
      </c>
      <c r="B1486" s="2" t="s">
        <v>1807</v>
      </c>
      <c r="C1486" s="2"/>
    </row>
    <row r="1487" ht="15.75" customHeight="1">
      <c r="B1487" s="2" t="s">
        <v>1808</v>
      </c>
      <c r="C1487" s="2" t="s">
        <v>1809</v>
      </c>
    </row>
    <row r="1488" ht="15.75" customHeight="1">
      <c r="A1488" s="2" t="s">
        <v>4</v>
      </c>
      <c r="B1488" s="2" t="str">
        <f>IFERROR(__xludf.DUMMYFUNCTION("CONCAT(""&lt;"",GOOGLETRANSLATE(B1487,""en"",""ar""))"),"&lt;إليشا")</f>
        <v>&lt;إليشا</v>
      </c>
      <c r="C1488" s="2" t="str">
        <f>IFERROR(__xludf.DUMMYFUNCTION("CONCAT(""&lt;"",GOOGLETRANSLATE(C1487,""en"",""ar""))"),"&lt;إليشا نجل شابس. نبي")</f>
        <v>&lt;إليشا نجل شابس. نبي</v>
      </c>
    </row>
    <row r="1489" ht="15.75" customHeight="1">
      <c r="A1489" s="1" t="s">
        <v>1810</v>
      </c>
      <c r="B1489" s="2" t="s">
        <v>1811</v>
      </c>
      <c r="C1489" s="2"/>
    </row>
    <row r="1490" ht="15.75" customHeight="1">
      <c r="B1490" s="2" t="s">
        <v>1812</v>
      </c>
      <c r="C1490" s="2" t="s">
        <v>1813</v>
      </c>
    </row>
    <row r="1491" ht="15.75" customHeight="1">
      <c r="A1491" s="2" t="s">
        <v>4</v>
      </c>
      <c r="B1491" s="2" t="str">
        <f>IFERROR(__xludf.DUMMYFUNCTION("CONCAT(""&lt;"",GOOGLETRANSLATE(B1490,""en"",""ar""))"),"&lt;Elishaphat")</f>
        <v>&lt;Elishaphat</v>
      </c>
      <c r="C1491" s="2" t="str">
        <f>IFERROR(__xludf.DUMMYFUNCTION("CONCAT(""&lt;"",GOOGLETRANSLATE(C1490,""en"",""ar""))"),"&lt;Elishaphat ابن زيشري ضابط جيش؛ وقت الملكة أثاليا")</f>
        <v>&lt;Elishaphat ابن زيشري ضابط جيش؛ وقت الملكة أثاليا</v>
      </c>
    </row>
    <row r="1492" ht="15.75" customHeight="1">
      <c r="A1492" s="1" t="s">
        <v>1814</v>
      </c>
      <c r="B1492" s="2" t="s">
        <v>1562</v>
      </c>
      <c r="C1492" s="2"/>
    </row>
    <row r="1493" ht="15.75" customHeight="1">
      <c r="B1493" s="2" t="s">
        <v>1563</v>
      </c>
    </row>
    <row r="1494" ht="15.75" customHeight="1">
      <c r="A1494" s="2" t="s">
        <v>4</v>
      </c>
      <c r="B1494" s="2" t="str">
        <f>IFERROR(__xludf.DUMMYFUNCTION("CONCAT(""&lt;"",GOOGLETRANSLATE(B1493,""en"",""ar""))"),"&lt;هؤلاء")</f>
        <v>&lt;هؤلاء</v>
      </c>
      <c r="C1494" s="2"/>
    </row>
    <row r="1495" ht="15.75" customHeight="1">
      <c r="A1495" s="1" t="s">
        <v>1815</v>
      </c>
      <c r="B1495" s="2" t="s">
        <v>1816</v>
      </c>
      <c r="C1495" s="2"/>
    </row>
    <row r="1496" ht="15.75" customHeight="1">
      <c r="B1496" s="2" t="s">
        <v>718</v>
      </c>
      <c r="C1496" s="2" t="s">
        <v>719</v>
      </c>
    </row>
    <row r="1497" ht="15.75" customHeight="1">
      <c r="A1497" s="2" t="s">
        <v>4</v>
      </c>
      <c r="B1497" s="2" t="str">
        <f>IFERROR(__xludf.DUMMYFUNCTION("CONCAT(""&lt;"",GOOGLETRANSLATE(B1496,""en"",""ar""))"),"&lt;ويل!")</f>
        <v>&lt;ويل!</v>
      </c>
      <c r="C1497" s="2" t="str">
        <f>IFERROR(__xludf.DUMMYFUNCTION("CONCAT(""&lt;"",GOOGLETRANSLATE(C1496,""en"",""ar""))"),"&lt;ويل التدخل!")</f>
        <v>&lt;ويل التدخل!</v>
      </c>
    </row>
    <row r="1498" ht="15.75" customHeight="1">
      <c r="A1498" s="1" t="s">
        <v>1817</v>
      </c>
      <c r="B1498" s="2" t="s">
        <v>1818</v>
      </c>
      <c r="C1498" s="2"/>
    </row>
    <row r="1499" ht="15.75" customHeight="1">
      <c r="B1499" s="2" t="s">
        <v>1819</v>
      </c>
      <c r="C1499" s="2" t="s">
        <v>1820</v>
      </c>
    </row>
    <row r="1500" ht="15.75" customHeight="1">
      <c r="A1500" s="2" t="s">
        <v>4</v>
      </c>
      <c r="B1500" s="2" t="str">
        <f>IFERROR(__xludf.DUMMYFUNCTION("CONCAT(""&lt;"",GOOGLETRANSLATE(B1499,""en"",""ar""))"),"&lt;كن غبيًا")</f>
        <v>&lt;كن غبيًا</v>
      </c>
      <c r="C1500" s="2" t="str">
        <f>IFERROR(__xludf.DUMMYFUNCTION("CONCAT(""&lt;"",GOOGLETRANSLATE(C1499,""en"",""ar""))"),"&lt;(أ) نيف. أن تكون غبيًا ، صامتًا ؛ (ب) بي. لربط")</f>
        <v>&lt;(أ) نيف. أن تكون غبيًا ، صامتًا ؛ (ب) بي. لربط</v>
      </c>
    </row>
    <row r="1501" ht="15.75" customHeight="1">
      <c r="A1501" s="1" t="s">
        <v>1821</v>
      </c>
      <c r="B1501" s="2" t="s">
        <v>1822</v>
      </c>
      <c r="C1501" s="2"/>
    </row>
    <row r="1502" ht="15.75" customHeight="1">
      <c r="B1502" s="2" t="s">
        <v>1823</v>
      </c>
      <c r="C1502" s="2" t="s">
        <v>1824</v>
      </c>
    </row>
    <row r="1503" ht="15.75" customHeight="1">
      <c r="A1503" s="2" t="s">
        <v>4</v>
      </c>
      <c r="B1503" s="2" t="str">
        <f>IFERROR(__xludf.DUMMYFUNCTION("CONCAT(""&lt;"",GOOGLETRANSLATE(B1502,""en"",""ar""))"),"&lt;الصمت")</f>
        <v>&lt;الصمت</v>
      </c>
      <c r="C1503" s="2" t="str">
        <f>IFERROR(__xludf.DUMMYFUNCTION("CONCAT(""&lt;"",GOOGLETRANSLATE(C1502,""en"",""ar""))"),"&lt;الصمت؟")</f>
        <v>&lt;الصمت؟</v>
      </c>
    </row>
    <row r="1504" ht="15.75" customHeight="1">
      <c r="A1504" s="1" t="s">
        <v>1825</v>
      </c>
      <c r="B1504" s="2" t="s">
        <v>1826</v>
      </c>
      <c r="C1504" s="2"/>
    </row>
    <row r="1505" ht="15.75" customHeight="1">
      <c r="B1505" s="2" t="s">
        <v>1827</v>
      </c>
      <c r="C1505" s="2" t="s">
        <v>1828</v>
      </c>
    </row>
    <row r="1506" ht="15.75" customHeight="1">
      <c r="A1506" s="2" t="s">
        <v>4</v>
      </c>
      <c r="B1506" s="2" t="str">
        <f>IFERROR(__xludf.DUMMYFUNCTION("CONCAT(""&lt;"",GOOGLETRANSLATE(B1505,""en"",""ar""))"),"&lt;صامت")</f>
        <v>&lt;صامت</v>
      </c>
      <c r="C1506" s="2" t="str">
        <f>IFERROR(__xludf.DUMMYFUNCTION("CONCAT(""&lt;"",GOOGLETRANSLATE(C1505,""en"",""ar""))"),"&lt;أحمق")</f>
        <v>&lt;أحمق</v>
      </c>
    </row>
    <row r="1507" ht="15.75" customHeight="1">
      <c r="A1507" s="1" t="s">
        <v>1829</v>
      </c>
      <c r="B1507" s="2" t="s">
        <v>1830</v>
      </c>
      <c r="C1507" s="2"/>
    </row>
    <row r="1508" ht="15.75" customHeight="1">
      <c r="B1508" s="2" t="s">
        <v>1831</v>
      </c>
      <c r="C1508" s="2" t="s">
        <v>1832</v>
      </c>
    </row>
    <row r="1509" ht="15.75" customHeight="1">
      <c r="A1509" s="2" t="s">
        <v>4</v>
      </c>
      <c r="B1509" s="2" t="str">
        <f>IFERROR(__xludf.DUMMYFUNCTION("CONCAT(""&lt;"",GOOGLETRANSLATE(B1508,""en"",""ar""))"),"&lt;almug")</f>
        <v>&lt;almug</v>
      </c>
      <c r="C1509" s="2" t="str">
        <f>IFERROR(__xludf.DUMMYFUNCTION("CONCAT(""&lt;"",GOOGLETRANSLATE(C1508,""en"",""ar""))"),"&lt;شجرة الصندل")</f>
        <v>&lt;شجرة الصندل</v>
      </c>
    </row>
    <row r="1510" ht="15.75" customHeight="1">
      <c r="A1510" s="1" t="s">
        <v>1833</v>
      </c>
      <c r="B1510" s="2" t="s">
        <v>1834</v>
      </c>
      <c r="C1510" s="2"/>
    </row>
    <row r="1511" ht="15.75" customHeight="1">
      <c r="B1511" s="2" t="s">
        <v>1835</v>
      </c>
      <c r="C1511" s="2" t="s">
        <v>1835</v>
      </c>
    </row>
    <row r="1512" ht="15.75" customHeight="1">
      <c r="A1512" s="2" t="s">
        <v>4</v>
      </c>
      <c r="B1512" s="2" t="str">
        <f>IFERROR(__xludf.DUMMYFUNCTION("CONCAT(""&lt;"",GOOGLETRANSLATE(B1511,""en"",""ar""))"),"&lt;حزمة")</f>
        <v>&lt;حزمة</v>
      </c>
      <c r="C1512" s="2" t="str">
        <f>IFERROR(__xludf.DUMMYFUNCTION("CONCAT(""&lt;"",GOOGLETRANSLATE(C1511,""en"",""ar""))"),"&lt;حزمة")</f>
        <v>&lt;حزمة</v>
      </c>
    </row>
    <row r="1513" ht="15.75" customHeight="1">
      <c r="A1513" s="1" t="s">
        <v>1836</v>
      </c>
      <c r="B1513" s="2" t="s">
        <v>1837</v>
      </c>
      <c r="C1513" s="2"/>
    </row>
    <row r="1514" ht="15.75" customHeight="1">
      <c r="B1514" s="2" t="s">
        <v>1838</v>
      </c>
      <c r="C1514" s="2" t="s">
        <v>1839</v>
      </c>
    </row>
    <row r="1515" ht="15.75" customHeight="1">
      <c r="A1515" s="2" t="s">
        <v>4</v>
      </c>
      <c r="B1515" s="2" t="str">
        <f>IFERROR(__xludf.DUMMYFUNCTION("CONCAT(""&lt;"",GOOGLETRANSLATE(B1514,""en"",""ar""))"),"&lt;الموداد")</f>
        <v>&lt;الموداد</v>
      </c>
      <c r="C1515" s="2" t="str">
        <f>IFERROR(__xludf.DUMMYFUNCTION("CONCAT(""&lt;"",GOOGLETRANSLATE(C1514,""en"",""ar""))"),"&lt;الموداد ابن جوكتان ؛ سليل شيم")</f>
        <v>&lt;الموداد ابن جوكتان ؛ سليل شيم</v>
      </c>
    </row>
    <row r="1516" ht="15.75" customHeight="1">
      <c r="A1516" s="1" t="s">
        <v>1840</v>
      </c>
      <c r="B1516" s="2" t="s">
        <v>1841</v>
      </c>
      <c r="C1516" s="2"/>
    </row>
    <row r="1517" ht="15.75" customHeight="1">
      <c r="B1517" s="2" t="s">
        <v>1842</v>
      </c>
      <c r="C1517" s="2" t="s">
        <v>1843</v>
      </c>
    </row>
    <row r="1518" ht="15.75" customHeight="1">
      <c r="A1518" s="2" t="s">
        <v>4</v>
      </c>
      <c r="B1518" s="2" t="str">
        <f>IFERROR(__xludf.DUMMYFUNCTION("CONCAT(""&lt;"",GOOGLETRANSLATE(B1517,""en"",""ar""))"),"&lt;allammelech")</f>
        <v>&lt;allammelech</v>
      </c>
      <c r="C1518" s="2" t="str">
        <f>IFERROR(__xludf.DUMMYFUNCTION("CONCAT(""&lt;"",GOOGLETRANSLATE(C1517,""en"",""ar""))"),"&lt;allammelech بلدة؛ أراضي آشر")</f>
        <v>&lt;allammelech بلدة؛ أراضي آشر</v>
      </c>
    </row>
    <row r="1519" ht="15.75" customHeight="1">
      <c r="A1519" s="1" t="s">
        <v>1844</v>
      </c>
      <c r="B1519" s="2" t="s">
        <v>1845</v>
      </c>
      <c r="C1519" s="2"/>
    </row>
    <row r="1520" ht="15.75" customHeight="1">
      <c r="B1520" s="2" t="s">
        <v>1846</v>
      </c>
      <c r="C1520" s="2" t="s">
        <v>1847</v>
      </c>
    </row>
    <row r="1521" ht="15.75" customHeight="1">
      <c r="A1521" s="2" t="s">
        <v>4</v>
      </c>
      <c r="B1521" s="2" t="str">
        <f>IFERROR(__xludf.DUMMYFUNCTION("CONCAT(""&lt;"",GOOGLETRANSLATE(B1520,""en"",""ar""))"),"&lt;منبوذ")</f>
        <v>&lt;منبوذ</v>
      </c>
      <c r="C1521" s="2" t="str">
        <f>IFERROR(__xludf.DUMMYFUNCTION("CONCAT(""&lt;"",GOOGLETRANSLATE(C1520,""en"",""ar""))"),"&lt;الترمل")</f>
        <v>&lt;الترمل</v>
      </c>
    </row>
    <row r="1522" ht="15.75" customHeight="1">
      <c r="A1522" s="1" t="s">
        <v>1848</v>
      </c>
      <c r="B1522" s="2" t="s">
        <v>1849</v>
      </c>
      <c r="C1522" s="2"/>
    </row>
    <row r="1523" ht="15.75" customHeight="1">
      <c r="B1523" s="2" t="s">
        <v>1847</v>
      </c>
      <c r="C1523" s="2" t="s">
        <v>1850</v>
      </c>
    </row>
    <row r="1524" ht="15.75" customHeight="1">
      <c r="A1524" s="2" t="s">
        <v>4</v>
      </c>
      <c r="B1524" s="2" t="str">
        <f>IFERROR(__xludf.DUMMYFUNCTION("CONCAT(""&lt;"",GOOGLETRANSLATE(B1523,""en"",""ar""))"),"&lt;الترمل")</f>
        <v>&lt;الترمل</v>
      </c>
      <c r="C1524" s="2" t="str">
        <f>IFERROR(__xludf.DUMMYFUNCTION("CONCAT(""&lt;"",GOOGLETRANSLATE(C1523,""en"",""ar""))"),"&lt;أرمل")</f>
        <v>&lt;أرمل</v>
      </c>
    </row>
    <row r="1525" ht="15.75" customHeight="1">
      <c r="A1525" s="1" t="s">
        <v>1851</v>
      </c>
      <c r="B1525" s="2" t="s">
        <v>1852</v>
      </c>
      <c r="C1525" s="2"/>
    </row>
    <row r="1526" ht="15.75" customHeight="1">
      <c r="B1526" s="2" t="s">
        <v>1853</v>
      </c>
      <c r="C1526" s="2" t="s">
        <v>1853</v>
      </c>
    </row>
    <row r="1527" ht="15.75" customHeight="1">
      <c r="A1527" s="2" t="s">
        <v>4</v>
      </c>
      <c r="B1527" s="2" t="str">
        <f>IFERROR(__xludf.DUMMYFUNCTION("CONCAT(""&lt;"",GOOGLETRANSLATE(B1526,""en"",""ar""))"),"&lt;أرملة")</f>
        <v>&lt;أرملة</v>
      </c>
      <c r="C1527" s="2" t="str">
        <f>IFERROR(__xludf.DUMMYFUNCTION("CONCAT(""&lt;"",GOOGLETRANSLATE(C1526,""en"",""ar""))"),"&lt;أرملة")</f>
        <v>&lt;أرملة</v>
      </c>
    </row>
    <row r="1528" ht="15.75" customHeight="1">
      <c r="A1528" s="1" t="s">
        <v>1854</v>
      </c>
      <c r="B1528" s="2" t="s">
        <v>1849</v>
      </c>
      <c r="C1528" s="2"/>
    </row>
    <row r="1529" ht="15.75" customHeight="1">
      <c r="B1529" s="2" t="s">
        <v>1847</v>
      </c>
      <c r="C1529" s="2" t="s">
        <v>1847</v>
      </c>
    </row>
    <row r="1530" ht="15.75" customHeight="1">
      <c r="A1530" s="2" t="s">
        <v>4</v>
      </c>
      <c r="B1530" s="2" t="str">
        <f>IFERROR(__xludf.DUMMYFUNCTION("CONCAT(""&lt;"",GOOGLETRANSLATE(B1529,""en"",""ar""))"),"&lt;الترمل")</f>
        <v>&lt;الترمل</v>
      </c>
      <c r="C1530" s="2" t="str">
        <f>IFERROR(__xludf.DUMMYFUNCTION("CONCAT(""&lt;"",GOOGLETRANSLATE(C1529,""en"",""ar""))"),"&lt;الترمل")</f>
        <v>&lt;الترمل</v>
      </c>
    </row>
    <row r="1531" ht="15.75" customHeight="1">
      <c r="A1531" s="1" t="s">
        <v>1855</v>
      </c>
      <c r="B1531" s="2" t="s">
        <v>1856</v>
      </c>
      <c r="C1531" s="2"/>
    </row>
    <row r="1532" ht="15.75" customHeight="1">
      <c r="B1532" s="2" t="s">
        <v>1857</v>
      </c>
      <c r="C1532" s="2" t="s">
        <v>1858</v>
      </c>
    </row>
    <row r="1533" ht="15.75" customHeight="1">
      <c r="A1533" s="2" t="s">
        <v>4</v>
      </c>
      <c r="B1533" s="2" t="str">
        <f>IFERROR(__xludf.DUMMYFUNCTION("CONCAT(""&lt;"",GOOGLETRANSLATE(B1532,""en"",""ar""))"),"&lt;شخص ما")</f>
        <v>&lt;شخص ما</v>
      </c>
      <c r="C1533" s="2" t="str">
        <f>IFERROR(__xludf.DUMMYFUNCTION("CONCAT(""&lt;"",GOOGLETRANSLATE(C1532,""en"",""ar""))"),"&lt;معين (شخص ، مكان)")</f>
        <v>&lt;معين (شخص ، مكان)</v>
      </c>
    </row>
    <row r="1534" ht="15.75" customHeight="1">
      <c r="A1534" s="1" t="s">
        <v>1859</v>
      </c>
      <c r="B1534" s="2" t="s">
        <v>1860</v>
      </c>
      <c r="C1534" s="2"/>
    </row>
    <row r="1535" ht="15.75" customHeight="1">
      <c r="B1535" s="2" t="s">
        <v>1861</v>
      </c>
      <c r="C1535" s="2" t="s">
        <v>1862</v>
      </c>
    </row>
    <row r="1536" ht="15.75" customHeight="1">
      <c r="A1536" s="2" t="s">
        <v>4</v>
      </c>
      <c r="B1536" s="2" t="str">
        <f>IFERROR(__xludf.DUMMYFUNCTION("CONCAT(""&lt;"",GOOGLETRANSLATE(B1535,""en"",""ar""))"),"&lt;elnaam")</f>
        <v>&lt;elnaam</v>
      </c>
      <c r="C1536" s="2" t="str">
        <f>IFERROR(__xludf.DUMMYFUNCTION("CONCAT(""&lt;"",GOOGLETRANSLATE(C1535,""en"",""ar""))"),"&lt;elnaam والد جريباي وجوشافيا")</f>
        <v>&lt;elnaam والد جريباي وجوشافيا</v>
      </c>
    </row>
    <row r="1537" ht="15.75" customHeight="1">
      <c r="A1537" s="1" t="s">
        <v>1863</v>
      </c>
      <c r="B1537" s="2" t="s">
        <v>1864</v>
      </c>
      <c r="C1537" s="2"/>
    </row>
    <row r="1538" ht="15.75" customHeight="1">
      <c r="B1538" s="2" t="s">
        <v>1865</v>
      </c>
      <c r="C1538" s="2" t="s">
        <v>1866</v>
      </c>
    </row>
    <row r="1539" ht="15.75" customHeight="1">
      <c r="A1539" s="2" t="s">
        <v>4</v>
      </c>
      <c r="B1539" s="2" t="str">
        <f>IFERROR(__xludf.DUMMYFUNCTION("CONCAT(""&lt;"",GOOGLETRANSLATE(B1538,""en"",""ar""))"),"&lt;elnathan")</f>
        <v>&lt;elnathan</v>
      </c>
      <c r="C1539" s="2" t="str">
        <f>IFERROR(__xludf.DUMMYFUNCTION("CONCAT(""&lt;"",GOOGLETRANSLATE(C1538,""en"",""ar""))"),"&lt;(أ) إلناثان ؛ والد نيهوشتا ، زوجة الملك يهواكيم ؛ (ب) إلناثان ؛ ابن أشبور رسمي؛ وقت الملك يهواكيم ؛ (ج) إلناثان ؛ رئيس؛ بعد المنفى")</f>
        <v>&lt;(أ) إلناثان ؛ والد نيهوشتا ، زوجة الملك يهواكيم ؛ (ب) إلناثان ؛ ابن أشبور رسمي؛ وقت الملك يهواكيم ؛ (ج) إلناثان ؛ رئيس؛ بعد المنفى</v>
      </c>
    </row>
    <row r="1540" ht="15.75" customHeight="1">
      <c r="A1540" s="1" t="s">
        <v>1867</v>
      </c>
      <c r="B1540" s="2" t="s">
        <v>1868</v>
      </c>
      <c r="C1540" s="2"/>
    </row>
    <row r="1541" ht="15.75" customHeight="1">
      <c r="B1541" s="2" t="s">
        <v>1869</v>
      </c>
      <c r="C1541" s="2" t="s">
        <v>1870</v>
      </c>
    </row>
    <row r="1542" ht="15.75" customHeight="1">
      <c r="A1542" s="2" t="s">
        <v>4</v>
      </c>
      <c r="B1542" s="2" t="str">
        <f>IFERROR(__xludf.DUMMYFUNCTION("CONCAT(""&lt;"",GOOGLETRANSLATE(B1541,""en"",""ar""))"),"&lt;Ellasar")</f>
        <v>&lt;Ellasar</v>
      </c>
      <c r="C1542" s="2" t="str">
        <f>IFERROR(__xludf.DUMMYFUNCTION("CONCAT(""&lt;"",GOOGLETRANSLATE(C1541,""en"",""ar""))"),"&lt;Ellasar موقع")</f>
        <v>&lt;Ellasar موقع</v>
      </c>
    </row>
    <row r="1543" ht="15.75" customHeight="1">
      <c r="A1543" s="1" t="s">
        <v>1871</v>
      </c>
      <c r="B1543" s="2" t="s">
        <v>1872</v>
      </c>
      <c r="C1543" s="2"/>
    </row>
    <row r="1544" ht="15.75" customHeight="1">
      <c r="B1544" s="2" t="s">
        <v>1873</v>
      </c>
      <c r="C1544" s="2" t="s">
        <v>1874</v>
      </c>
    </row>
    <row r="1545" ht="15.75" customHeight="1">
      <c r="A1545" s="2" t="s">
        <v>4</v>
      </c>
      <c r="B1545" s="2" t="str">
        <f>IFERROR(__xludf.DUMMYFUNCTION("CONCAT(""&lt;"",GOOGLETRANSLATE(B1544,""en"",""ar""))"),"&lt;lead")</f>
        <v>&lt;lead</v>
      </c>
      <c r="C1545" s="2" t="str">
        <f>IFERROR(__xludf.DUMMYFUNCTION("CONCAT(""&lt;"",GOOGLETRANSLATE(C1544,""en"",""ar""))"),"&lt;عداد ابن إفرايم")</f>
        <v>&lt;عداد ابن إفرايم</v>
      </c>
    </row>
    <row r="1546" ht="15.75" customHeight="1">
      <c r="A1546" s="1" t="s">
        <v>1875</v>
      </c>
      <c r="B1546" s="2" t="s">
        <v>1876</v>
      </c>
      <c r="C1546" s="2"/>
    </row>
    <row r="1547" ht="15.75" customHeight="1">
      <c r="B1547" s="2" t="s">
        <v>1877</v>
      </c>
      <c r="C1547" s="2" t="s">
        <v>1878</v>
      </c>
    </row>
    <row r="1548" ht="15.75" customHeight="1">
      <c r="A1548" s="2" t="s">
        <v>4</v>
      </c>
      <c r="B1548" s="2" t="str">
        <f>IFERROR(__xludf.DUMMYFUNCTION("CONCAT(""&lt;"",GOOGLETRANSLATE(B1547,""en"",""ar""))"),"&lt;Eleadah")</f>
        <v>&lt;Eleadah</v>
      </c>
      <c r="C1548" s="2" t="str">
        <f>IFERROR(__xludf.DUMMYFUNCTION("CONCAT(""&lt;"",GOOGLETRANSLATE(C1547,""en"",""ar""))"),"&lt;Eleadah ابن طهث قبيلة إفرايم")</f>
        <v>&lt;Eleadah ابن طهث قبيلة إفرايم</v>
      </c>
    </row>
    <row r="1549" ht="15.75" customHeight="1">
      <c r="A1549" s="1" t="s">
        <v>1879</v>
      </c>
      <c r="B1549" s="2" t="s">
        <v>1880</v>
      </c>
      <c r="C1549" s="2"/>
    </row>
    <row r="1550" ht="15.75" customHeight="1">
      <c r="B1550" s="2" t="s">
        <v>1881</v>
      </c>
      <c r="C1550" s="2" t="s">
        <v>1882</v>
      </c>
    </row>
    <row r="1551" ht="15.75" customHeight="1">
      <c r="A1551" s="2" t="s">
        <v>4</v>
      </c>
      <c r="B1551" s="2" t="str">
        <f>IFERROR(__xludf.DUMMYFUNCTION("CONCAT(""&lt;"",GOOGLETRANSLATE(B1550,""en"",""ar""))"),"&lt;eluzai")</f>
        <v>&lt;eluzai</v>
      </c>
      <c r="C1551" s="2" t="str">
        <f>IFERROR(__xludf.DUMMYFUNCTION("CONCAT(""&lt;"",GOOGLETRANSLATE(C1550,""en"",""ar""))"),"&lt;eluzai رجل؛ محارب؛ وقت داود")</f>
        <v>&lt;eluzai رجل؛ محارب؛ وقت داود</v>
      </c>
    </row>
    <row r="1552" ht="15.75" customHeight="1">
      <c r="A1552" s="1" t="s">
        <v>1883</v>
      </c>
      <c r="B1552" s="2" t="s">
        <v>1884</v>
      </c>
      <c r="C1552" s="2"/>
    </row>
    <row r="1553" ht="15.75" customHeight="1">
      <c r="B1553" s="2" t="s">
        <v>1885</v>
      </c>
      <c r="C1553" s="2" t="s">
        <v>1886</v>
      </c>
    </row>
    <row r="1554" ht="15.75" customHeight="1">
      <c r="A1554" s="2" t="s">
        <v>4</v>
      </c>
      <c r="B1554" s="2" t="str">
        <f>IFERROR(__xludf.DUMMYFUNCTION("CONCAT(""&lt;"",GOOGLETRANSLATE(B1553,""en"",""ar""))"),"&lt;eleazar")</f>
        <v>&lt;eleazar</v>
      </c>
      <c r="C1554" s="2" t="str">
        <f>IFERROR(__xludf.DUMMYFUNCTION("CONCAT(""&lt;"",GOOGLETRANSLATE(C1553,""en"",""ar""))"),"&lt;(أ) إيليزار ؛ ابن هارون الكاهن الاكبر؛ (ب) إيليزار ؛ رجل؛ ابن أبيناداب ؛ (ج) إيليزار ؛ ابن دودو ، دوداي ؛ محارب؛ وقت داود (د) إيليزار ؛ رجل؛ قبيلة ليفي (هـ) إيليزار ؛ مختلف الرجال")</f>
        <v>&lt;(أ) إيليزار ؛ ابن هارون الكاهن الاكبر؛ (ب) إيليزار ؛ رجل؛ ابن أبيناداب ؛ (ج) إيليزار ؛ ابن دودو ، دوداي ؛ محارب؛ وقت داود (د) إيليزار ؛ رجل؛ قبيلة ليفي (هـ) إيليزار ؛ مختلف الرجال</v>
      </c>
    </row>
    <row r="1555" ht="15.75" customHeight="1">
      <c r="A1555" s="1" t="s">
        <v>1887</v>
      </c>
      <c r="B1555" s="2" t="s">
        <v>1888</v>
      </c>
      <c r="C1555" s="2"/>
    </row>
    <row r="1556" ht="15.75" customHeight="1">
      <c r="B1556" s="2" t="s">
        <v>1889</v>
      </c>
      <c r="C1556" s="2" t="s">
        <v>1890</v>
      </c>
    </row>
    <row r="1557" ht="15.75" customHeight="1">
      <c r="A1557" s="2" t="s">
        <v>4</v>
      </c>
      <c r="B1557" s="2" t="str">
        <f>IFERROR(__xludf.DUMMYFUNCTION("CONCAT(""&lt;"",GOOGLETRANSLATE(B1556,""en"",""ar""))"),"&lt;إيليه")</f>
        <v>&lt;إيليه</v>
      </c>
      <c r="C1557" s="2" t="str">
        <f>IFERROR(__xludf.DUMMYFUNCTION("CONCAT(""&lt;"",GOOGLETRANSLATE(C1556,""en"",""ar""))"),"&lt;إيليه ؛ بلدة؛ أراضي روبن")</f>
        <v>&lt;إيليه ؛ بلدة؛ أراضي روبن</v>
      </c>
    </row>
    <row r="1558" ht="15.75" customHeight="1">
      <c r="A1558" s="1" t="s">
        <v>1891</v>
      </c>
      <c r="B1558" s="2" t="s">
        <v>1892</v>
      </c>
      <c r="C1558" s="2"/>
    </row>
    <row r="1559" ht="15.75" customHeight="1">
      <c r="B1559" s="2" t="s">
        <v>1893</v>
      </c>
      <c r="C1559" s="2" t="s">
        <v>1894</v>
      </c>
    </row>
    <row r="1560" ht="15.75" customHeight="1">
      <c r="A1560" s="2" t="s">
        <v>4</v>
      </c>
      <c r="B1560" s="2" t="str">
        <f>IFERROR(__xludf.DUMMYFUNCTION("CONCAT(""&lt;"",GOOGLETRANSLATE(B1559,""en"",""ar""))"),"&lt;الإلاساه")</f>
        <v>&lt;الإلاساه</v>
      </c>
      <c r="C1560" s="2" t="str">
        <f>IFERROR(__xludf.DUMMYFUNCTION("CONCAT(""&lt;"",GOOGLETRANSLATE(C1559,""en"",""ar""))"),"&lt;(أ) إليساه ؛ نسل Jerahmeel ؛ قبيلة يهوذا (ج) إليساه ؛ ابن رافاه قبيلة بنيامين (د) إليساه ؛ كاهن؛ وقت عزرا (هـ) إليساه ؛ نجل شافان. رسمي؛ وقت زيديكيا")</f>
        <v>&lt;(أ) إليساه ؛ نسل Jerahmeel ؛ قبيلة يهوذا (ج) إليساه ؛ ابن رافاه قبيلة بنيامين (د) إليساه ؛ كاهن؛ وقت عزرا (هـ) إليساه ؛ نجل شافان. رسمي؛ وقت زيديكيا</v>
      </c>
    </row>
    <row r="1561" ht="15.75" customHeight="1">
      <c r="A1561" s="1" t="s">
        <v>1895</v>
      </c>
      <c r="B1561" s="2" t="s">
        <v>1896</v>
      </c>
      <c r="C1561" s="2"/>
    </row>
    <row r="1562" ht="15.75" customHeight="1">
      <c r="B1562" s="2" t="s">
        <v>1897</v>
      </c>
      <c r="C1562" s="2" t="s">
        <v>1898</v>
      </c>
    </row>
    <row r="1563" ht="15.75" customHeight="1">
      <c r="A1563" s="2" t="s">
        <v>4</v>
      </c>
      <c r="B1563" s="2" t="str">
        <f>IFERROR(__xludf.DUMMYFUNCTION("CONCAT(""&lt;"",GOOGLETRANSLATE(B1562,""en"",""ar""))"),"&lt;لتعليم | تعلم")</f>
        <v>&lt;لتعليم | تعلم</v>
      </c>
      <c r="C1563" s="2" t="str">
        <f>IFERROR(__xludf.DUMMYFUNCTION("CONCAT(""&lt;"",GOOGLETRANSLATE(C1562,""en"",""ar""))"),"&lt;(أ) QAL لتصبح مألوفة ؛ (ب) بي. لتعليم؛ (ج) HIF. لإحضار الآلاف")</f>
        <v>&lt;(أ) QAL لتصبح مألوفة ؛ (ب) بي. لتعليم؛ (ج) HIF. لإحضار الآلاف</v>
      </c>
    </row>
    <row r="1564" ht="15.75" customHeight="1">
      <c r="A1564" s="1" t="s">
        <v>1899</v>
      </c>
      <c r="B1564" s="2" t="s">
        <v>1900</v>
      </c>
      <c r="C1564" s="2"/>
    </row>
    <row r="1565" ht="15.75" customHeight="1">
      <c r="B1565" s="2" t="s">
        <v>1901</v>
      </c>
    </row>
    <row r="1566" ht="15.75" customHeight="1">
      <c r="A1566" s="2" t="s">
        <v>4</v>
      </c>
      <c r="B1566" s="2" t="str">
        <f>IFERROR(__xludf.DUMMYFUNCTION("CONCAT(""&lt;"",GOOGLETRANSLATE(B1565,""en"",""ar""))"),"&lt;لإنتاج الآلاف")</f>
        <v>&lt;لإنتاج الآلاف</v>
      </c>
      <c r="C1566" s="2"/>
    </row>
    <row r="1567" ht="15.75" customHeight="1">
      <c r="A1567" s="1" t="s">
        <v>1902</v>
      </c>
      <c r="B1567" s="2" t="s">
        <v>1903</v>
      </c>
      <c r="C1567" s="2"/>
    </row>
    <row r="1568" ht="15.75" customHeight="1">
      <c r="B1568" s="2" t="s">
        <v>1904</v>
      </c>
      <c r="C1568" s="2" t="s">
        <v>1905</v>
      </c>
    </row>
    <row r="1569" ht="15.75" customHeight="1">
      <c r="A1569" s="2" t="s">
        <v>4</v>
      </c>
      <c r="B1569" s="2" t="str">
        <f>IFERROR(__xludf.DUMMYFUNCTION("CONCAT(""&lt;"",GOOGLETRANSLATE(B1568,""en"",""ar""))"),"&lt;ماشية")</f>
        <v>&lt;ماشية</v>
      </c>
      <c r="C1569" s="2" t="str">
        <f>IFERROR(__xludf.DUMMYFUNCTION("CONCAT(""&lt;"",GOOGLETRANSLATE(C1568,""en"",""ar""))"),"&lt;(1 أ) الماشية")</f>
        <v>&lt;(1 أ) الماشية</v>
      </c>
    </row>
    <row r="1570" ht="15.75" customHeight="1">
      <c r="A1570" s="1" t="s">
        <v>1906</v>
      </c>
      <c r="B1570" s="2" t="s">
        <v>1907</v>
      </c>
      <c r="C1570" s="2"/>
    </row>
    <row r="1571" ht="15.75" customHeight="1">
      <c r="B1571" s="2" t="s">
        <v>1908</v>
      </c>
      <c r="C1571" s="2" t="s">
        <v>1909</v>
      </c>
    </row>
    <row r="1572" ht="15.75" customHeight="1">
      <c r="A1572" s="2" t="s">
        <v>4</v>
      </c>
      <c r="B1572" s="2" t="str">
        <f>IFERROR(__xludf.DUMMYFUNCTION("CONCAT(""&lt;"",GOOGLETRANSLATE(B1571,""en"",""ar""))"),"&lt;ألف")</f>
        <v>&lt;ألف</v>
      </c>
      <c r="C1572" s="2" t="str">
        <f>IFERROR(__xludf.DUMMYFUNCTION("CONCAT(""&lt;"",GOOGLETRANSLATE(C1571,""en"",""ar""))"),"&lt;(1C) عدد الألف")</f>
        <v>&lt;(1C) عدد الألف</v>
      </c>
    </row>
    <row r="1573" ht="15.75" customHeight="1">
      <c r="A1573" s="1" t="s">
        <v>1910</v>
      </c>
      <c r="B1573" s="2" t="s">
        <v>1911</v>
      </c>
      <c r="C1573" s="2"/>
    </row>
    <row r="1574" ht="15.75" customHeight="1">
      <c r="B1574" s="2" t="s">
        <v>1908</v>
      </c>
      <c r="C1574" s="2" t="s">
        <v>1909</v>
      </c>
    </row>
    <row r="1575" ht="15.75" customHeight="1">
      <c r="A1575" s="2" t="s">
        <v>4</v>
      </c>
      <c r="B1575" s="2" t="str">
        <f>IFERROR(__xludf.DUMMYFUNCTION("CONCAT(""&lt;"",GOOGLETRANSLATE(B1574,""en"",""ar""))"),"&lt;ألف")</f>
        <v>&lt;ألف</v>
      </c>
      <c r="C1575" s="2" t="str">
        <f>IFERROR(__xludf.DUMMYFUNCTION("CONCAT(""&lt;"",GOOGLETRANSLATE(C1574,""en"",""ar""))"),"&lt;(1C) عدد الألف")</f>
        <v>&lt;(1C) عدد الألف</v>
      </c>
    </row>
    <row r="1576" ht="15.75" customHeight="1">
      <c r="A1576" s="1" t="s">
        <v>1912</v>
      </c>
      <c r="B1576" s="2" t="s">
        <v>1913</v>
      </c>
      <c r="C1576" s="2"/>
    </row>
    <row r="1577" ht="15.75" customHeight="1">
      <c r="B1577" s="2" t="s">
        <v>1914</v>
      </c>
      <c r="C1577" s="2" t="s">
        <v>1915</v>
      </c>
    </row>
    <row r="1578" ht="15.75" customHeight="1">
      <c r="A1578" s="2" t="s">
        <v>4</v>
      </c>
      <c r="B1578" s="2" t="str">
        <f>IFERROR(__xludf.DUMMYFUNCTION("CONCAT(""&lt;"",GOOGLETRANSLATE(B1577,""en"",""ar""))"),"&lt;هايليف")</f>
        <v>&lt;هايليف</v>
      </c>
      <c r="C1578" s="2" t="str">
        <f>IFERROR(__xludf.DUMMYFUNCTION("CONCAT(""&lt;"",GOOGLETRANSLATE(C1577,""en"",""ar""))"),"&lt;(2) هايليف. بلدة؛ أراضي بنيامين")</f>
        <v>&lt;(2) هايليف. بلدة؛ أراضي بنيامين</v>
      </c>
    </row>
    <row r="1579" ht="15.75" customHeight="1">
      <c r="A1579" s="1" t="s">
        <v>1916</v>
      </c>
      <c r="B1579" s="2" t="s">
        <v>1917</v>
      </c>
      <c r="C1579" s="2"/>
    </row>
    <row r="1580" ht="15.75" customHeight="1">
      <c r="B1580" s="2" t="s">
        <v>1918</v>
      </c>
      <c r="C1580" s="2" t="s">
        <v>1919</v>
      </c>
    </row>
    <row r="1581" ht="15.75" customHeight="1">
      <c r="A1581" s="2" t="s">
        <v>4</v>
      </c>
      <c r="B1581" s="2" t="str">
        <f>IFERROR(__xludf.DUMMYFUNCTION("CONCAT(""&lt;"",GOOGLETRANSLATE(B1580,""en"",""ar""))"),"&lt;إلبال")</f>
        <v>&lt;إلبال</v>
      </c>
      <c r="C1581" s="2" t="str">
        <f>IFERROR(__xludf.DUMMYFUNCTION("CONCAT(""&lt;"",GOOGLETRANSLATE(C1580,""en"",""ar""))"),"&lt;(أ) إلبال ؛ ابن شاهاريم قبيلة بنيامين (ب) إلبال ؛ رجل؛ قبيلة بنيامين")</f>
        <v>&lt;(أ) إلبال ؛ ابن شاهاريم قبيلة بنيامين (ب) إلبال ؛ رجل؛ قبيلة بنيامين</v>
      </c>
    </row>
    <row r="1582" ht="15.75" customHeight="1">
      <c r="A1582" s="1" t="s">
        <v>1920</v>
      </c>
      <c r="B1582" s="2" t="s">
        <v>1921</v>
      </c>
      <c r="C1582" s="2"/>
    </row>
    <row r="1583" ht="15.75" customHeight="1">
      <c r="B1583" s="2" t="s">
        <v>1922</v>
      </c>
    </row>
    <row r="1584" ht="15.75" customHeight="1">
      <c r="A1584" s="2" t="s">
        <v>4</v>
      </c>
      <c r="B1584" s="2" t="str">
        <f>IFERROR(__xludf.DUMMYFUNCTION("CONCAT(""&lt;"",GOOGLETRANSLATE(B1583,""en"",""ar""))"),"&lt;لكي يحث")</f>
        <v>&lt;لكي يحث</v>
      </c>
      <c r="C1584" s="2"/>
    </row>
    <row r="1585" ht="15.75" customHeight="1">
      <c r="A1585" s="1" t="s">
        <v>1923</v>
      </c>
      <c r="B1585" s="2" t="s">
        <v>1924</v>
      </c>
      <c r="C1585" s="2"/>
    </row>
    <row r="1586" ht="15.75" customHeight="1">
      <c r="B1586" s="2" t="s">
        <v>1925</v>
      </c>
    </row>
    <row r="1587" ht="15.75" customHeight="1">
      <c r="A1587" s="2" t="s">
        <v>4</v>
      </c>
      <c r="B1587" s="2" t="str">
        <f>IFERROR(__xludf.DUMMYFUNCTION("CONCAT(""&lt;"",GOOGLETRANSLATE(B1586,""en"",""ar""))"),"&lt;جيش")</f>
        <v>&lt;جيش</v>
      </c>
      <c r="C1587" s="2"/>
    </row>
    <row r="1588" ht="15.75" customHeight="1">
      <c r="A1588" s="1" t="s">
        <v>1926</v>
      </c>
      <c r="B1588" s="2" t="s">
        <v>1927</v>
      </c>
      <c r="C1588" s="2"/>
    </row>
    <row r="1589" ht="15.75" customHeight="1">
      <c r="B1589" s="2" t="s">
        <v>1928</v>
      </c>
      <c r="C1589" s="2" t="s">
        <v>1929</v>
      </c>
    </row>
    <row r="1590" ht="15.75" customHeight="1">
      <c r="A1590" s="2" t="s">
        <v>4</v>
      </c>
      <c r="B1590" s="2" t="str">
        <f>IFERROR(__xludf.DUMMYFUNCTION("CONCAT(""&lt;"",GOOGLETRANSLATE(B1589,""en"",""ar""))"),"&lt;الكانا")</f>
        <v>&lt;الكانا</v>
      </c>
      <c r="C1590" s="2" t="str">
        <f>IFERROR(__xludf.DUMMYFUNCTION("CONCAT(""&lt;"",GOOGLETRANSLATE(C1589,""en"",""ar""))"),"&lt;(أ) الكاناه ؛ ابن عمير سليل كوهاث ؛ قبيلة ليفي (ب) الكاناه ؛ ابن جيرهام والد صموئيل سلف هيمان (ج) الكانا ؛ محارب؛ وقت الملك داود (د) الكانا ؛ رجل؛ قبيلة ليفي (هـ) الكانا ؛ نجل Ahimoth ، ماهاث ؛ سلف صموئيل ، هيمان ؛ قبيلة ليفي (و) الكانا ؛ ابن جويل سلف هي"&amp;"مان قبيلة ليفي (ز) الكاناه ؛ سلف بيريشيا ، ليفيت ؛ (ح) الكانا ؛ حاملة تابوت. قبيلة ليفي وقت الملك داود (ط) الكاناه ؛ الثاني في قيادة الملك آهاز")</f>
        <v>&lt;(أ) الكاناه ؛ ابن عمير سليل كوهاث ؛ قبيلة ليفي (ب) الكاناه ؛ ابن جيرهام والد صموئيل سلف هيمان (ج) الكانا ؛ محارب؛ وقت الملك داود (د) الكانا ؛ رجل؛ قبيلة ليفي (هـ) الكانا ؛ نجل Ahimoth ، ماهاث ؛ سلف صموئيل ، هيمان ؛ قبيلة ليفي (و) الكانا ؛ ابن جويل سلف هيمان قبيلة ليفي (ز) الكاناه ؛ سلف بيريشيا ، ليفيت ؛ (ح) الكانا ؛ حاملة تابوت. قبيلة ليفي وقت الملك داود (ط) الكاناه ؛ الثاني في قيادة الملك آهاز</v>
      </c>
    </row>
    <row r="1591" ht="15.75" customHeight="1">
      <c r="A1591" s="1" t="s">
        <v>1930</v>
      </c>
      <c r="B1591" s="2" t="s">
        <v>1931</v>
      </c>
      <c r="C1591" s="2"/>
    </row>
    <row r="1592" ht="15.75" customHeight="1">
      <c r="B1592" s="2" t="s">
        <v>1932</v>
      </c>
      <c r="C1592" s="2" t="s">
        <v>1933</v>
      </c>
    </row>
    <row r="1593" ht="15.75" customHeight="1">
      <c r="A1593" s="2" t="s">
        <v>4</v>
      </c>
      <c r="B1593" s="2" t="str">
        <f>IFERROR(__xludf.DUMMYFUNCTION("CONCAT(""&lt;"",GOOGLETRANSLATE(B1592,""en"",""ar""))"),"&lt;Elkoshite")</f>
        <v>&lt;Elkoshite</v>
      </c>
      <c r="C1593" s="2" t="str">
        <f>IFERROR(__xludf.DUMMYFUNCTION("CONCAT(""&lt;"",GOOGLETRANSLATE(C1592,""en"",""ar""))"),"&lt;Elkoshite ساكن إلكوش")</f>
        <v>&lt;Elkoshite ساكن إلكوش</v>
      </c>
    </row>
    <row r="1594" ht="15.75" customHeight="1">
      <c r="A1594" s="1" t="s">
        <v>1934</v>
      </c>
      <c r="B1594" s="2" t="s">
        <v>1935</v>
      </c>
      <c r="C1594" s="2"/>
    </row>
    <row r="1595" ht="15.75" customHeight="1">
      <c r="B1595" s="2" t="s">
        <v>1936</v>
      </c>
      <c r="C1595" s="2" t="s">
        <v>1937</v>
      </c>
    </row>
    <row r="1596" ht="15.75" customHeight="1">
      <c r="A1596" s="2" t="s">
        <v>4</v>
      </c>
      <c r="B1596" s="2" t="str">
        <f>IFERROR(__xludf.DUMMYFUNCTION("CONCAT(""&lt;"",GOOGLETRANSLATE(B1595,""en"",""ar""))"),"&lt;Eltolad")</f>
        <v>&lt;Eltolad</v>
      </c>
      <c r="C1596" s="2" t="str">
        <f>IFERROR(__xludf.DUMMYFUNCTION("CONCAT(""&lt;"",GOOGLETRANSLATE(C1595,""en"",""ar""))"),"&lt;إلطولاد موقع؛ Eltolad")</f>
        <v>&lt;إلطولاد موقع؛ Eltolad</v>
      </c>
    </row>
    <row r="1597" ht="15.75" customHeight="1">
      <c r="A1597" s="1" t="s">
        <v>1938</v>
      </c>
      <c r="B1597" s="2" t="s">
        <v>1939</v>
      </c>
      <c r="C1597" s="2"/>
    </row>
    <row r="1598" ht="15.75" customHeight="1">
      <c r="B1598" s="2" t="s">
        <v>1940</v>
      </c>
      <c r="C1598" s="2" t="s">
        <v>1941</v>
      </c>
    </row>
    <row r="1599" ht="15.75" customHeight="1">
      <c r="A1599" s="2" t="s">
        <v>4</v>
      </c>
      <c r="B1599" s="2" t="str">
        <f>IFERROR(__xludf.DUMMYFUNCTION("CONCAT(""&lt;"",GOOGLETRANSLATE(B1598,""en"",""ar""))"),"&lt;elteke")</f>
        <v>&lt;elteke</v>
      </c>
      <c r="C1599" s="2" t="str">
        <f>IFERROR(__xludf.DUMMYFUNCTION("CONCAT(""&lt;"",GOOGLETRANSLATE(C1598,""en"",""ar""))"),"&lt;eltekeh ؛ بلدة؛ إقليم دان")</f>
        <v>&lt;eltekeh ؛ بلدة؛ إقليم دان</v>
      </c>
    </row>
    <row r="1600" ht="15.75" customHeight="1">
      <c r="A1600" s="1" t="s">
        <v>1942</v>
      </c>
      <c r="B1600" s="2" t="s">
        <v>1943</v>
      </c>
      <c r="C1600" s="2"/>
    </row>
    <row r="1601" ht="15.75" customHeight="1">
      <c r="B1601" s="2" t="s">
        <v>1944</v>
      </c>
      <c r="C1601" s="2" t="s">
        <v>1945</v>
      </c>
    </row>
    <row r="1602" ht="15.75" customHeight="1">
      <c r="A1602" s="2" t="s">
        <v>4</v>
      </c>
      <c r="B1602" s="2" t="str">
        <f>IFERROR(__xludf.DUMMYFUNCTION("CONCAT(""&lt;"",GOOGLETRANSLATE(B1601,""en"",""ar""))"),"&lt;Eltekon")</f>
        <v>&lt;Eltekon</v>
      </c>
      <c r="C1602" s="2" t="str">
        <f>IFERROR(__xludf.DUMMYFUNCTION("CONCAT(""&lt;"",GOOGLETRANSLATE(C1601,""en"",""ar""))"),"&lt;Eltekon ؛ بلدة؛ أراضي يهوذا")</f>
        <v>&lt;Eltekon ؛ بلدة؛ أراضي يهوذا</v>
      </c>
    </row>
    <row r="1603" ht="15.75" customHeight="1">
      <c r="A1603" s="1" t="s">
        <v>1946</v>
      </c>
      <c r="B1603" s="2" t="s">
        <v>1947</v>
      </c>
      <c r="C1603" s="2"/>
    </row>
    <row r="1604" ht="15.75" customHeight="1">
      <c r="B1604" s="2" t="s">
        <v>1948</v>
      </c>
      <c r="C1604" s="2" t="s">
        <v>1948</v>
      </c>
    </row>
    <row r="1605" ht="15.75" customHeight="1">
      <c r="A1605" s="2" t="s">
        <v>4</v>
      </c>
      <c r="B1605" s="2" t="str">
        <f>IFERROR(__xludf.DUMMYFUNCTION("CONCAT(""&lt;"",GOOGLETRANSLATE(B1604,""en"",""ar""))"),"&lt;التاستيث")</f>
        <v>&lt;التاستيث</v>
      </c>
      <c r="C1605" s="2" t="str">
        <f>IFERROR(__xludf.DUMMYFUNCTION("CONCAT(""&lt;"",GOOGLETRANSLATE(C1604,""en"",""ar""))"),"&lt;التاستيث")</f>
        <v>&lt;التاستيث</v>
      </c>
    </row>
    <row r="1606" ht="15.75" customHeight="1">
      <c r="A1606" s="1" t="s">
        <v>1949</v>
      </c>
      <c r="B1606" s="2" t="s">
        <v>1950</v>
      </c>
      <c r="C1606" s="2"/>
    </row>
    <row r="1607" ht="15.75" customHeight="1">
      <c r="B1607" s="2" t="s">
        <v>1951</v>
      </c>
      <c r="C1607" s="2" t="s">
        <v>1951</v>
      </c>
    </row>
    <row r="1608" ht="15.75" customHeight="1">
      <c r="A1608" s="2" t="s">
        <v>4</v>
      </c>
      <c r="B1608" s="2" t="str">
        <f>IFERROR(__xludf.DUMMYFUNCTION("CONCAT(""&lt;"",GOOGLETRANSLATE(B1607,""en"",""ar""))"),"&lt;الأم")</f>
        <v>&lt;الأم</v>
      </c>
      <c r="C1608" s="2" t="str">
        <f>IFERROR(__xludf.DUMMYFUNCTION("CONCAT(""&lt;"",GOOGLETRANSLATE(C1607,""en"",""ar""))"),"&lt;الأم")</f>
        <v>&lt;الأم</v>
      </c>
    </row>
    <row r="1609" ht="15.75" customHeight="1">
      <c r="A1609" s="1" t="s">
        <v>1952</v>
      </c>
      <c r="B1609" s="2" t="s">
        <v>1953</v>
      </c>
      <c r="C1609" s="2"/>
    </row>
    <row r="1610" ht="15.75" customHeight="1">
      <c r="B1610" s="2" t="s">
        <v>1954</v>
      </c>
      <c r="C1610" s="2" t="s">
        <v>1955</v>
      </c>
    </row>
    <row r="1611" ht="15.75" customHeight="1">
      <c r="A1611" s="2" t="s">
        <v>4</v>
      </c>
      <c r="B1611" s="2" t="str">
        <f>IFERROR(__xludf.DUMMYFUNCTION("CONCAT(""&lt;"",GOOGLETRANSLATE(B1610,""en"",""ar""))"),"&lt;لو")</f>
        <v>&lt;لو</v>
      </c>
      <c r="C1611" s="2" t="str">
        <f>IFERROR(__xludf.DUMMYFUNCTION("CONCAT(""&lt;"",GOOGLETRANSLATE(C1610,""en"",""ar""))"),"&lt;التزامن: إذا ، متى ، سواء")</f>
        <v>&lt;التزامن: إذا ، متى ، سواء</v>
      </c>
    </row>
    <row r="1612" ht="15.75" customHeight="1">
      <c r="A1612" s="1" t="s">
        <v>1956</v>
      </c>
      <c r="B1612" s="2" t="s">
        <v>1957</v>
      </c>
      <c r="C1612" s="2"/>
    </row>
    <row r="1613" ht="15.75" customHeight="1">
      <c r="B1613" s="2" t="s">
        <v>1958</v>
      </c>
    </row>
    <row r="1614" ht="15.75" customHeight="1">
      <c r="A1614" s="2" t="s">
        <v>4</v>
      </c>
      <c r="B1614" s="2" t="str">
        <f>IFERROR(__xludf.DUMMYFUNCTION("CONCAT(""&lt;"",GOOGLETRANSLATE(B1613,""en"",""ar""))"),"&lt;هذا لو")</f>
        <v>&lt;هذا لو</v>
      </c>
      <c r="C1614" s="2"/>
    </row>
    <row r="1615" ht="15.75" customHeight="1">
      <c r="A1615" s="1" t="s">
        <v>1959</v>
      </c>
      <c r="B1615" s="2" t="s">
        <v>1960</v>
      </c>
      <c r="C1615" s="2"/>
    </row>
    <row r="1616" ht="15.75" customHeight="1">
      <c r="B1616" s="2" t="s">
        <v>1961</v>
      </c>
      <c r="C1616" s="2" t="s">
        <v>1962</v>
      </c>
    </row>
    <row r="1617" ht="15.75" customHeight="1">
      <c r="A1617" s="2" t="s">
        <v>4</v>
      </c>
      <c r="B1617" s="2" t="str">
        <f>IFERROR(__xludf.DUMMYFUNCTION("CONCAT(""&lt;"",GOOGLETRANSLATE(B1616,""en"",""ar""))"),"&lt;خادمة")</f>
        <v>&lt;خادمة</v>
      </c>
      <c r="C1617" s="2" t="str">
        <f>IFERROR(__xludf.DUMMYFUNCTION("CONCAT(""&lt;"",GOOGLETRANSLATE(C1616,""en"",""ar""))"),"&lt;العبد ، الخادم")</f>
        <v>&lt;العبد ، الخادم</v>
      </c>
    </row>
    <row r="1618" ht="15.75" customHeight="1">
      <c r="A1618" s="1" t="s">
        <v>1963</v>
      </c>
      <c r="B1618" s="2" t="s">
        <v>1964</v>
      </c>
      <c r="C1618" s="2"/>
    </row>
    <row r="1619" ht="15.75" customHeight="1">
      <c r="B1619" s="2" t="s">
        <v>1965</v>
      </c>
      <c r="C1619" s="2" t="s">
        <v>1966</v>
      </c>
    </row>
    <row r="1620" ht="15.75" customHeight="1">
      <c r="A1620" s="2" t="s">
        <v>4</v>
      </c>
      <c r="B1620" s="2" t="str">
        <f>IFERROR(__xludf.DUMMYFUNCTION("CONCAT(""&lt;"",GOOGLETRANSLATE(B1619,""en"",""ar""))"),"&lt;Cubit")</f>
        <v>&lt;Cubit</v>
      </c>
      <c r="C1620" s="2" t="str">
        <f>IFERROR(__xludf.DUMMYFUNCTION("CONCAT(""&lt;"",GOOGLETRANSLATE(C1619,""en"",""ar""))"),"&lt;(1C) (عادي) Cubit: مقياس خطي من 44.5 سم (24 أصابع ، 6 راحة يد ، 2 تمتد) ؛ (Royal) Cubit: المقياس الخطي من 51.81 سم (7 نخيل) ؛ (2) AMMAH ؛ تلة")</f>
        <v>&lt;(1C) (عادي) Cubit: مقياس خطي من 44.5 سم (24 أصابع ، 6 راحة يد ، 2 تمتد) ؛ (Royal) Cubit: المقياس الخطي من 51.81 سم (7 نخيل) ؛ (2) AMMAH ؛ تلة</v>
      </c>
    </row>
    <row r="1621" ht="15.75" customHeight="1">
      <c r="A1621" s="1" t="s">
        <v>1967</v>
      </c>
      <c r="B1621" s="2" t="s">
        <v>1968</v>
      </c>
      <c r="C1621" s="2"/>
    </row>
    <row r="1622" ht="15.75" customHeight="1">
      <c r="B1622" s="2" t="s">
        <v>1969</v>
      </c>
      <c r="C1622" s="2" t="s">
        <v>1970</v>
      </c>
    </row>
    <row r="1623" ht="15.75" customHeight="1">
      <c r="A1623" s="2" t="s">
        <v>4</v>
      </c>
      <c r="B1623" s="2" t="str">
        <f>IFERROR(__xludf.DUMMYFUNCTION("CONCAT(""&lt;"",GOOGLETRANSLATE(B1622,""en"",""ar""))"),"&lt;مؤسسة")</f>
        <v>&lt;مؤسسة</v>
      </c>
      <c r="C1623" s="2" t="str">
        <f>IFERROR(__xludf.DUMMYFUNCTION("CONCAT(""&lt;"",GOOGLETRANSLATE(C1622,""en"",""ar""))"),"&lt;(1 ب) مفصل الباب")</f>
        <v>&lt;(1 ب) مفصل الباب</v>
      </c>
    </row>
    <row r="1624" ht="15.75" customHeight="1">
      <c r="A1624" s="1" t="s">
        <v>1971</v>
      </c>
      <c r="B1624" s="2" t="s">
        <v>1972</v>
      </c>
      <c r="C1624" s="2"/>
    </row>
    <row r="1625" ht="15.75" customHeight="1">
      <c r="B1625" s="2" t="s">
        <v>1965</v>
      </c>
      <c r="C1625" s="2" t="s">
        <v>1966</v>
      </c>
    </row>
    <row r="1626" ht="15.75" customHeight="1">
      <c r="A1626" s="2" t="s">
        <v>4</v>
      </c>
      <c r="B1626" s="2" t="str">
        <f>IFERROR(__xludf.DUMMYFUNCTION("CONCAT(""&lt;"",GOOGLETRANSLATE(B1625,""en"",""ar""))"),"&lt;Cubit")</f>
        <v>&lt;Cubit</v>
      </c>
      <c r="C1626" s="2" t="str">
        <f>IFERROR(__xludf.DUMMYFUNCTION("CONCAT(""&lt;"",GOOGLETRANSLATE(C1625,""en"",""ar""))"),"&lt;(1C) (عادي) Cubit: مقياس خطي من 44.5 سم (24 أصابع ، 6 راحة يد ، 2 تمتد) ؛ (Royal) Cubit: المقياس الخطي من 51.81 سم (7 نخيل) ؛ (2) AMMAH ؛ تلة")</f>
        <v>&lt;(1C) (عادي) Cubit: مقياس خطي من 44.5 سم (24 أصابع ، 6 راحة يد ، 2 تمتد) ؛ (Royal) Cubit: المقياس الخطي من 51.81 سم (7 نخيل) ؛ (2) AMMAH ؛ تلة</v>
      </c>
    </row>
    <row r="1627" ht="15.75" customHeight="1">
      <c r="A1627" s="1" t="s">
        <v>1973</v>
      </c>
      <c r="B1627" s="2" t="s">
        <v>1974</v>
      </c>
      <c r="C1627" s="2"/>
    </row>
    <row r="1628" ht="15.75" customHeight="1">
      <c r="B1628" s="2" t="s">
        <v>1975</v>
      </c>
      <c r="C1628" s="2" t="s">
        <v>1975</v>
      </c>
    </row>
    <row r="1629" ht="15.75" customHeight="1">
      <c r="A1629" s="2" t="s">
        <v>4</v>
      </c>
      <c r="B1629" s="2" t="str">
        <f>IFERROR(__xludf.DUMMYFUNCTION("CONCAT(""&lt;"",GOOGLETRANSLATE(B1628,""en"",""ar""))"),"&lt;أمي")</f>
        <v>&lt;أمي</v>
      </c>
      <c r="C1629" s="2" t="str">
        <f>IFERROR(__xludf.DUMMYFUNCTION("CONCAT(""&lt;"",GOOGLETRANSLATE(C1628,""en"",""ar""))"),"&lt;أمي")</f>
        <v>&lt;أمي</v>
      </c>
    </row>
    <row r="1630" ht="15.75" customHeight="1">
      <c r="A1630" s="1" t="s">
        <v>1976</v>
      </c>
      <c r="B1630" s="2" t="s">
        <v>1977</v>
      </c>
      <c r="C1630" s="2"/>
    </row>
    <row r="1631" ht="15.75" customHeight="1">
      <c r="B1631" s="2" t="s">
        <v>1978</v>
      </c>
      <c r="C1631" s="2" t="s">
        <v>1979</v>
      </c>
    </row>
    <row r="1632" ht="15.75" customHeight="1">
      <c r="A1632" s="2" t="s">
        <v>4</v>
      </c>
      <c r="B1632" s="2" t="str">
        <f>IFERROR(__xludf.DUMMYFUNCTION("CONCAT(""&lt;"",GOOGLETRANSLATE(B1631,""en"",""ar""))"),"&lt;الناس")</f>
        <v>&lt;الناس</v>
      </c>
      <c r="C1632" s="2" t="str">
        <f>IFERROR(__xludf.DUMMYFUNCTION("CONCAT(""&lt;"",GOOGLETRANSLATE(C1631,""en"",""ar""))"),"&lt;قبيلة ، الأمة")</f>
        <v>&lt;قبيلة ، الأمة</v>
      </c>
    </row>
    <row r="1633" ht="15.75" customHeight="1">
      <c r="A1633" s="1" t="s">
        <v>1980</v>
      </c>
      <c r="B1633" s="2" t="s">
        <v>1977</v>
      </c>
      <c r="C1633" s="2"/>
    </row>
    <row r="1634" ht="15.75" customHeight="1">
      <c r="B1634" s="2" t="s">
        <v>1978</v>
      </c>
      <c r="C1634" s="2" t="s">
        <v>1979</v>
      </c>
    </row>
    <row r="1635" ht="15.75" customHeight="1">
      <c r="A1635" s="2" t="s">
        <v>4</v>
      </c>
      <c r="B1635" s="2" t="str">
        <f>IFERROR(__xludf.DUMMYFUNCTION("CONCAT(""&lt;"",GOOGLETRANSLATE(B1634,""en"",""ar""))"),"&lt;الناس")</f>
        <v>&lt;الناس</v>
      </c>
      <c r="C1635" s="2" t="str">
        <f>IFERROR(__xludf.DUMMYFUNCTION("CONCAT(""&lt;"",GOOGLETRANSLATE(C1634,""en"",""ar""))"),"&lt;قبيلة ، الأمة")</f>
        <v>&lt;قبيلة ، الأمة</v>
      </c>
    </row>
    <row r="1636" ht="15.75" customHeight="1">
      <c r="A1636" s="1" t="s">
        <v>1981</v>
      </c>
      <c r="B1636" s="2" t="s">
        <v>1982</v>
      </c>
      <c r="C1636" s="2"/>
    </row>
    <row r="1637" ht="15.75" customHeight="1">
      <c r="B1637" s="2" t="s">
        <v>1983</v>
      </c>
      <c r="C1637" s="2" t="s">
        <v>1984</v>
      </c>
    </row>
    <row r="1638" ht="15.75" customHeight="1">
      <c r="A1638" s="2" t="s">
        <v>4</v>
      </c>
      <c r="B1638" s="2" t="str">
        <f>IFERROR(__xludf.DUMMYFUNCTION("CONCAT(""&lt;"",GOOGLETRANSLATE(B1637,""en"",""ar""))"),"&lt;الحرفي")</f>
        <v>&lt;الحرفي</v>
      </c>
      <c r="C1638" s="2" t="str">
        <f>IFERROR(__xludf.DUMMYFUNCTION("CONCAT(""&lt;"",GOOGLETRANSLATE(C1637,""en"",""ar""))"),"&lt;(1) Artificer؟ ؛ (2A) آمون ؛ ابن ماناس ملك يهوذا (643/42-641/40) ؛ (2 ب) آمون ؛ حاكم السامرة ؛ وقت آب (2c) אָמִי   Amon; رأس الأسرة عبيد سليمان. بعد المنفى (2D) آمون ؛ إله المصري")</f>
        <v>&lt;(1) Artificer؟ ؛ (2A) آمون ؛ ابن ماناس ملك يهوذا (643/42-641/40) ؛ (2 ب) آمون ؛ حاكم السامرة ؛ وقت آب (2c) אָמִי   Amon; رأس الأسرة عبيد سليمان. بعد المنفى (2D) آمون ؛ إله المصري</v>
      </c>
    </row>
    <row r="1639" ht="15.75" customHeight="1">
      <c r="A1639" s="1" t="s">
        <v>1985</v>
      </c>
      <c r="B1639" s="2" t="s">
        <v>1986</v>
      </c>
      <c r="C1639" s="2"/>
    </row>
    <row r="1640" ht="15.75" customHeight="1">
      <c r="B1640" s="2" t="s">
        <v>1987</v>
      </c>
      <c r="C1640" s="2" t="s">
        <v>1984</v>
      </c>
    </row>
    <row r="1641" ht="15.75" customHeight="1">
      <c r="A1641" s="2" t="s">
        <v>4</v>
      </c>
      <c r="B1641" s="2" t="str">
        <f>IFERROR(__xludf.DUMMYFUNCTION("CONCAT(""&lt;"",GOOGLETRANSLATE(B1640,""en"",""ar""))"),"&lt;آمون")</f>
        <v>&lt;آمون</v>
      </c>
      <c r="C1641" s="2" t="str">
        <f>IFERROR(__xludf.DUMMYFUNCTION("CONCAT(""&lt;"",GOOGLETRANSLATE(C1640,""en"",""ar""))"),"&lt;(1) Artificer؟ ؛ (2A) آمون ؛ ابن ماناس ملك يهوذا (643/42-641/40) ؛ (2 ب) آمون ؛ حاكم السامرة ؛ وقت آب (2c) אָמִי   Amon; رأس الأسرة عبيد سليمان. بعد المنفى (2D) آمون ؛ إله المصري")</f>
        <v>&lt;(1) Artificer؟ ؛ (2A) آمون ؛ ابن ماناس ملك يهوذا (643/42-641/40) ؛ (2 ب) آمون ؛ حاكم السامرة ؛ وقت آب (2c) אָמִי   Amon; رأس الأسرة عبيد سليمان. بعد المنفى (2D) آمون ؛ إله المصري</v>
      </c>
    </row>
    <row r="1642" ht="15.75" customHeight="1">
      <c r="A1642" s="1" t="s">
        <v>1988</v>
      </c>
      <c r="B1642" s="2" t="s">
        <v>1989</v>
      </c>
      <c r="C1642" s="2"/>
    </row>
    <row r="1643" ht="15.75" customHeight="1">
      <c r="B1643" s="2" t="s">
        <v>1990</v>
      </c>
    </row>
    <row r="1644" ht="15.75" customHeight="1">
      <c r="A1644" s="2" t="s">
        <v>4</v>
      </c>
      <c r="B1644" s="2" t="str">
        <f>IFERROR(__xludf.DUMMYFUNCTION("CONCAT(""&lt;"",GOOGLETRANSLATE(B1643,""en"",""ar""))"),"&lt;الجموع")</f>
        <v>&lt;الجموع</v>
      </c>
      <c r="C1644" s="2"/>
    </row>
    <row r="1645" ht="15.75" customHeight="1">
      <c r="A1645" s="1" t="s">
        <v>1991</v>
      </c>
      <c r="B1645" s="2" t="s">
        <v>1992</v>
      </c>
      <c r="C1645" s="2"/>
    </row>
    <row r="1646" ht="15.75" customHeight="1">
      <c r="B1646" s="2" t="s">
        <v>1987</v>
      </c>
      <c r="C1646" s="2" t="s">
        <v>1987</v>
      </c>
    </row>
    <row r="1647" ht="15.75" customHeight="1">
      <c r="A1647" s="2" t="s">
        <v>4</v>
      </c>
      <c r="B1647" s="2" t="str">
        <f>IFERROR(__xludf.DUMMYFUNCTION("CONCAT(""&lt;"",GOOGLETRANSLATE(B1646,""en"",""ar""))"),"&lt;آمون")</f>
        <v>&lt;آمون</v>
      </c>
      <c r="C1647" s="2" t="str">
        <f>IFERROR(__xludf.DUMMYFUNCTION("CONCAT(""&lt;"",GOOGLETRANSLATE(C1646,""en"",""ar""))"),"&lt;آمون")</f>
        <v>&lt;آمون</v>
      </c>
    </row>
    <row r="1648" ht="15.75" customHeight="1">
      <c r="A1648" s="1" t="s">
        <v>1993</v>
      </c>
      <c r="B1648" s="2" t="s">
        <v>1994</v>
      </c>
      <c r="C1648" s="2"/>
    </row>
    <row r="1649" ht="15.75" customHeight="1">
      <c r="B1649" s="2" t="s">
        <v>1995</v>
      </c>
      <c r="C1649" s="2" t="s">
        <v>1995</v>
      </c>
    </row>
    <row r="1650" ht="15.75" customHeight="1">
      <c r="A1650" s="2" t="s">
        <v>4</v>
      </c>
      <c r="B1650" s="2" t="str">
        <f>IFERROR(__xludf.DUMMYFUNCTION("CONCAT(""&lt;"",GOOGLETRANSLATE(B1649,""en"",""ar""))"),"&lt;مخلص")</f>
        <v>&lt;مخلص</v>
      </c>
      <c r="C1650" s="2" t="str">
        <f>IFERROR(__xludf.DUMMYFUNCTION("CONCAT(""&lt;"",GOOGLETRANSLATE(C1649,""en"",""ar""))"),"&lt;مخلص")</f>
        <v>&lt;مخلص</v>
      </c>
    </row>
    <row r="1651" ht="15.75" customHeight="1">
      <c r="A1651" s="1" t="s">
        <v>1996</v>
      </c>
      <c r="B1651" s="2" t="s">
        <v>1997</v>
      </c>
      <c r="C1651" s="2"/>
    </row>
    <row r="1652" ht="15.75" customHeight="1">
      <c r="B1652" s="2" t="s">
        <v>1998</v>
      </c>
      <c r="C1652" s="2" t="s">
        <v>1999</v>
      </c>
    </row>
    <row r="1653" ht="15.75" customHeight="1">
      <c r="A1653" s="2" t="s">
        <v>4</v>
      </c>
      <c r="B1653" s="2" t="str">
        <f>IFERROR(__xludf.DUMMYFUNCTION("CONCAT(""&lt;"",GOOGLETRANSLATE(B1652,""en"",""ar""))"),"&lt;الإخلاص")</f>
        <v>&lt;الإخلاص</v>
      </c>
      <c r="C1653" s="2" t="str">
        <f>IFERROR(__xludf.DUMMYFUNCTION("CONCAT(""&lt;"",GOOGLETRANSLATE(C1652,""en"",""ar""))"),"&lt;(أ) الثبات ؛ (ب) الحقيقة والإخلاص")</f>
        <v>&lt;(أ) الثبات ؛ (ب) الحقيقة والإخلاص</v>
      </c>
    </row>
    <row r="1654" ht="15.75" customHeight="1">
      <c r="A1654" s="1" t="s">
        <v>2000</v>
      </c>
      <c r="B1654" s="2" t="s">
        <v>2001</v>
      </c>
      <c r="C1654" s="2"/>
    </row>
    <row r="1655" ht="15.75" customHeight="1">
      <c r="B1655" s="2" t="s">
        <v>2002</v>
      </c>
      <c r="C1655" s="2" t="s">
        <v>2003</v>
      </c>
    </row>
    <row r="1656" ht="15.75" customHeight="1">
      <c r="A1656" s="2" t="s">
        <v>4</v>
      </c>
      <c r="B1656" s="2" t="str">
        <f>IFERROR(__xludf.DUMMYFUNCTION("CONCAT(""&lt;"",GOOGLETRANSLATE(B1655,""en"",""ar""))"),"&lt;أموز")</f>
        <v>&lt;أموز</v>
      </c>
      <c r="C1656" s="2" t="str">
        <f>IFERROR(__xludf.DUMMYFUNCTION("CONCAT(""&lt;"",GOOGLETRANSLATE(C1655,""en"",""ar""))"),"&lt;amoz والد النبي أشعيا")</f>
        <v>&lt;amoz والد النبي أشعيا</v>
      </c>
    </row>
    <row r="1657" ht="15.75" customHeight="1">
      <c r="A1657" s="1" t="s">
        <v>2004</v>
      </c>
      <c r="B1657" s="2" t="s">
        <v>2005</v>
      </c>
      <c r="C1657" s="2"/>
    </row>
    <row r="1658" ht="15.75" customHeight="1">
      <c r="B1658" s="2" t="s">
        <v>2006</v>
      </c>
      <c r="C1658" s="2" t="s">
        <v>2007</v>
      </c>
    </row>
    <row r="1659" ht="15.75" customHeight="1">
      <c r="A1659" s="2" t="s">
        <v>4</v>
      </c>
      <c r="B1659" s="2" t="str">
        <f>IFERROR(__xludf.DUMMYFUNCTION("CONCAT(""&lt;"",GOOGLETRANSLATE(B1658,""en"",""ar""))"),"&lt;أمي")</f>
        <v>&lt;أمي</v>
      </c>
      <c r="C1659" s="2" t="str">
        <f>IFERROR(__xludf.DUMMYFUNCTION("CONCAT(""&lt;"",GOOGLETRANSLATE(C1658,""en"",""ar""))"),"&lt;أمي. رأس الأسرة عبيد سليمان. بعد المنفى")</f>
        <v>&lt;أمي. رأس الأسرة عبيد سليمان. بعد المنفى</v>
      </c>
    </row>
    <row r="1660" ht="15.75" customHeight="1">
      <c r="A1660" s="1" t="s">
        <v>2008</v>
      </c>
      <c r="B1660" s="2" t="s">
        <v>2009</v>
      </c>
      <c r="C1660" s="2"/>
    </row>
    <row r="1661" ht="15.75" customHeight="1">
      <c r="B1661" s="2" t="s">
        <v>1480</v>
      </c>
      <c r="C1661" s="2" t="s">
        <v>1480</v>
      </c>
    </row>
    <row r="1662" ht="15.75" customHeight="1">
      <c r="A1662" s="2" t="s">
        <v>4</v>
      </c>
      <c r="B1662" s="2" t="str">
        <f>IFERROR(__xludf.DUMMYFUNCTION("CONCAT(""&lt;"",GOOGLETRANSLATE(B1661,""en"",""ar""))"),"&lt;قوي")</f>
        <v>&lt;قوي</v>
      </c>
      <c r="C1662" s="2" t="str">
        <f>IFERROR(__xludf.DUMMYFUNCTION("CONCAT(""&lt;"",GOOGLETRANSLATE(C1661,""en"",""ar""))"),"&lt;قوي")</f>
        <v>&lt;قوي</v>
      </c>
    </row>
    <row r="1663" ht="15.75" customHeight="1">
      <c r="A1663" s="1" t="s">
        <v>2010</v>
      </c>
      <c r="B1663" s="2" t="s">
        <v>2011</v>
      </c>
      <c r="C1663" s="2"/>
    </row>
    <row r="1664" ht="15.75" customHeight="1">
      <c r="B1664" s="2" t="s">
        <v>2012</v>
      </c>
      <c r="C1664" s="2" t="s">
        <v>2012</v>
      </c>
    </row>
    <row r="1665" ht="15.75" customHeight="1">
      <c r="A1665" s="2" t="s">
        <v>4</v>
      </c>
      <c r="B1665" s="2" t="str">
        <f>IFERROR(__xludf.DUMMYFUNCTION("CONCAT(""&lt;"",GOOGLETRANSLATE(B1664,""en"",""ar""))"),"&lt;قمة")</f>
        <v>&lt;قمة</v>
      </c>
      <c r="C1665" s="2" t="str">
        <f>IFERROR(__xludf.DUMMYFUNCTION("CONCAT(""&lt;"",GOOGLETRANSLATE(C1664,""en"",""ar""))"),"&lt;قمة")</f>
        <v>&lt;قمة</v>
      </c>
    </row>
    <row r="1666" ht="15.75" customHeight="1">
      <c r="A1666" s="1" t="s">
        <v>2013</v>
      </c>
      <c r="B1666" s="2" t="s">
        <v>2014</v>
      </c>
      <c r="C1666" s="2"/>
    </row>
    <row r="1667" ht="15.75" customHeight="1">
      <c r="B1667" s="2" t="s">
        <v>2015</v>
      </c>
      <c r="C1667" s="2" t="s">
        <v>2016</v>
      </c>
    </row>
    <row r="1668" ht="15.75" customHeight="1">
      <c r="A1668" s="2" t="s">
        <v>4</v>
      </c>
      <c r="B1668" s="2" t="str">
        <f>IFERROR(__xludf.DUMMYFUNCTION("CONCAT(""&lt;"",GOOGLETRANSLATE(B1667,""en"",""ar""))"),"&lt;لإضعاف")</f>
        <v>&lt;لإضعاف</v>
      </c>
      <c r="C1668" s="2" t="str">
        <f>IFERROR(__xludf.DUMMYFUNCTION("CONCAT(""&lt;"",GOOGLETRANSLATE(C1667,""en"",""ar""))"),"&lt;إِغماء؟ \ pulal لتذاق")</f>
        <v>&lt;إِغماء؟ \ pulal لتذاق</v>
      </c>
    </row>
    <row r="1669" ht="15.75" customHeight="1">
      <c r="A1669" s="1" t="s">
        <v>2017</v>
      </c>
      <c r="B1669" s="2" t="s">
        <v>2018</v>
      </c>
      <c r="C1669" s="2"/>
    </row>
    <row r="1670" ht="15.75" customHeight="1">
      <c r="B1670" s="2" t="s">
        <v>2019</v>
      </c>
      <c r="C1670" s="2" t="s">
        <v>2020</v>
      </c>
    </row>
    <row r="1671" ht="15.75" customHeight="1">
      <c r="A1671" s="2" t="s">
        <v>4</v>
      </c>
      <c r="B1671" s="2" t="str">
        <f>IFERROR(__xludf.DUMMYFUNCTION("CONCAT(""&lt;"",GOOGLETRANSLATE(B1670,""en"",""ar""))"),"&lt;ضعيف")</f>
        <v>&lt;ضعيف</v>
      </c>
      <c r="C1671" s="2" t="str">
        <f>IFERROR(__xludf.DUMMYFUNCTION("CONCAT(""&lt;"",GOOGLETRANSLATE(C1670,""en"",""ar""))"),"&lt;التحلل")</f>
        <v>&lt;التحلل</v>
      </c>
    </row>
    <row r="1672" ht="15.75" customHeight="1">
      <c r="A1672" s="1" t="s">
        <v>2021</v>
      </c>
      <c r="B1672" s="2" t="s">
        <v>2018</v>
      </c>
      <c r="C1672" s="2"/>
    </row>
    <row r="1673" ht="15.75" customHeight="1">
      <c r="B1673" s="2" t="s">
        <v>2019</v>
      </c>
      <c r="C1673" s="2" t="s">
        <v>2022</v>
      </c>
    </row>
    <row r="1674" ht="15.75" customHeight="1">
      <c r="A1674" s="2" t="s">
        <v>4</v>
      </c>
      <c r="B1674" s="2" t="str">
        <f>IFERROR(__xludf.DUMMYFUNCTION("CONCAT(""&lt;"",GOOGLETRANSLATE(B1673,""en"",""ar""))"),"&lt;ضعيف")</f>
        <v>&lt;ضعيف</v>
      </c>
      <c r="C1674" s="2" t="str">
        <f>IFERROR(__xludf.DUMMYFUNCTION("CONCAT(""&lt;"",GOOGLETRANSLATE(C1673,""en"",""ar""))"),"&lt;التحلل (من شخص مريض)")</f>
        <v>&lt;التحلل (من شخص مريض)</v>
      </c>
    </row>
    <row r="1675" ht="15.75" customHeight="1">
      <c r="A1675" s="1" t="s">
        <v>2023</v>
      </c>
      <c r="B1675" s="2" t="s">
        <v>2024</v>
      </c>
      <c r="C1675" s="2"/>
    </row>
    <row r="1676" ht="15.75" customHeight="1">
      <c r="B1676" s="2" t="s">
        <v>2025</v>
      </c>
      <c r="C1676" s="2" t="s">
        <v>2026</v>
      </c>
    </row>
    <row r="1677" ht="15.75" customHeight="1">
      <c r="A1677" s="2" t="s">
        <v>4</v>
      </c>
      <c r="B1677" s="2" t="str">
        <f>IFERROR(__xludf.DUMMYFUNCTION("CONCAT(""&lt;"",GOOGLETRANSLATE(B1676,""en"",""ar""))"),"&lt;أمام")</f>
        <v>&lt;أمام</v>
      </c>
      <c r="C1677" s="2" t="str">
        <f>IFERROR(__xludf.DUMMYFUNCTION("CONCAT(""&lt;"",GOOGLETRANSLATE(C1676,""en"",""ar""))"),"&lt;أمام بلدة؛ أراضي يهوذا")</f>
        <v>&lt;أمام بلدة؛ أراضي يهوذا</v>
      </c>
    </row>
    <row r="1678" ht="15.75" customHeight="1">
      <c r="A1678" s="1" t="s">
        <v>2027</v>
      </c>
      <c r="B1678" s="2" t="s">
        <v>2028</v>
      </c>
      <c r="C1678" s="2"/>
    </row>
    <row r="1679" ht="15.75" customHeight="1">
      <c r="B1679" s="2" t="s">
        <v>2029</v>
      </c>
      <c r="C1679" s="2" t="s">
        <v>2030</v>
      </c>
    </row>
    <row r="1680" ht="15.75" customHeight="1">
      <c r="A1680" s="2" t="s">
        <v>4</v>
      </c>
      <c r="B1680" s="2" t="str">
        <f>IFERROR(__xludf.DUMMYFUNCTION("CONCAT(""&lt;"",GOOGLETRANSLATE(B1679,""en"",""ar""))"),"&lt;أكون مخلصا")</f>
        <v>&lt;أكون مخلصا</v>
      </c>
      <c r="C1680" s="2" t="str">
        <f>IFERROR(__xludf.DUMMYFUNCTION("CONCAT(""&lt;"",GOOGLETRANSLATE(C1679,""en"",""ar""))"),"&lt;الحقيقة ، الإخلاص")</f>
        <v>&lt;الحقيقة ، الإخلاص</v>
      </c>
    </row>
    <row r="1681" ht="15.75" customHeight="1">
      <c r="A1681" s="1" t="s">
        <v>2031</v>
      </c>
      <c r="B1681" s="2" t="s">
        <v>2032</v>
      </c>
      <c r="C1681" s="2"/>
    </row>
    <row r="1682" ht="15.75" customHeight="1">
      <c r="B1682" s="2" t="s">
        <v>2033</v>
      </c>
    </row>
    <row r="1683" ht="15.75" customHeight="1">
      <c r="A1683" s="2" t="s">
        <v>4</v>
      </c>
      <c r="B1683" s="2" t="str">
        <f>IFERROR(__xludf.DUMMYFUNCTION("CONCAT(""&lt;"",GOOGLETRANSLATE(B1682,""en"",""ar""))"),"&lt;حتى اثق")</f>
        <v>&lt;حتى اثق</v>
      </c>
      <c r="C1683" s="2"/>
    </row>
    <row r="1684" ht="15.75" customHeight="1">
      <c r="A1684" s="1" t="s">
        <v>2034</v>
      </c>
      <c r="B1684" s="2" t="s">
        <v>2035</v>
      </c>
      <c r="C1684" s="2"/>
    </row>
    <row r="1685" ht="15.75" customHeight="1">
      <c r="B1685" s="2" t="s">
        <v>2036</v>
      </c>
    </row>
    <row r="1686" ht="15.75" customHeight="1">
      <c r="A1686" s="2" t="s">
        <v>4</v>
      </c>
      <c r="B1686" s="2" t="str">
        <f>IFERROR(__xludf.DUMMYFUNCTION("CONCAT(""&lt;"",GOOGLETRANSLATE(B1685,""en"",""ar""))"),"&lt;انعطف يمينا")</f>
        <v>&lt;انعطف يمينا</v>
      </c>
      <c r="C1686" s="2"/>
    </row>
    <row r="1687" ht="15.75" customHeight="1">
      <c r="A1687" s="1" t="s">
        <v>2037</v>
      </c>
      <c r="B1687" s="2" t="s">
        <v>2038</v>
      </c>
      <c r="C1687" s="2"/>
    </row>
    <row r="1688" ht="15.75" customHeight="1">
      <c r="B1688" s="2" t="s">
        <v>1983</v>
      </c>
      <c r="C1688" s="2" t="s">
        <v>2039</v>
      </c>
    </row>
    <row r="1689" ht="15.75" customHeight="1">
      <c r="A1689" s="2" t="s">
        <v>4</v>
      </c>
      <c r="B1689" s="2" t="str">
        <f>IFERROR(__xludf.DUMMYFUNCTION("CONCAT(""&lt;"",GOOGLETRANSLATE(B1688,""en"",""ar""))"),"&lt;الحرفي")</f>
        <v>&lt;الحرفي</v>
      </c>
      <c r="C1689" s="2" t="str">
        <f>IFERROR(__xludf.DUMMYFUNCTION("CONCAT(""&lt;"",GOOGLETRANSLATE(C1688,""en"",""ar""))"),"&lt;Artificer ، فنان")</f>
        <v>&lt;Artificer ، فنان</v>
      </c>
    </row>
    <row r="1690" ht="15.75" customHeight="1">
      <c r="A1690" s="1" t="s">
        <v>2040</v>
      </c>
      <c r="B1690" s="2" t="s">
        <v>2041</v>
      </c>
      <c r="C1690" s="2"/>
    </row>
    <row r="1691" ht="15.75" customHeight="1">
      <c r="B1691" s="2" t="s">
        <v>2042</v>
      </c>
    </row>
    <row r="1692" ht="15.75" customHeight="1">
      <c r="A1692" s="2" t="s">
        <v>4</v>
      </c>
      <c r="B1692" s="2" t="str">
        <f>IFERROR(__xludf.DUMMYFUNCTION("CONCAT(""&lt;"",GOOGLETRANSLATE(B1691,""en"",""ar""))"),"&lt;آمين")</f>
        <v>&lt;آمين</v>
      </c>
      <c r="C1692" s="2"/>
    </row>
    <row r="1693" ht="15.75" customHeight="1">
      <c r="A1693" s="1" t="s">
        <v>2043</v>
      </c>
      <c r="B1693" s="2" t="s">
        <v>2044</v>
      </c>
      <c r="C1693" s="2"/>
    </row>
    <row r="1694" ht="15.75" customHeight="1">
      <c r="B1694" s="2" t="s">
        <v>1998</v>
      </c>
      <c r="C1694" s="2" t="s">
        <v>2045</v>
      </c>
    </row>
    <row r="1695" ht="15.75" customHeight="1">
      <c r="A1695" s="2" t="s">
        <v>4</v>
      </c>
      <c r="B1695" s="2" t="str">
        <f>IFERROR(__xludf.DUMMYFUNCTION("CONCAT(""&lt;"",GOOGLETRANSLATE(B1694,""en"",""ar""))"),"&lt;الإخلاص")</f>
        <v>&lt;الإخلاص</v>
      </c>
      <c r="C1695" s="2" t="str">
        <f>IFERROR(__xludf.DUMMYFUNCTION("CONCAT(""&lt;"",GOOGLETRANSLATE(C1694,""en"",""ar""))"),"&lt;بالتاكيد!")</f>
        <v>&lt;بالتاكيد!</v>
      </c>
    </row>
    <row r="1696" ht="15.75" customHeight="1">
      <c r="A1696" s="1" t="s">
        <v>2046</v>
      </c>
      <c r="B1696" s="2" t="s">
        <v>2047</v>
      </c>
      <c r="C1696" s="2"/>
    </row>
    <row r="1697" ht="15.75" customHeight="1">
      <c r="B1697" s="2" t="s">
        <v>2048</v>
      </c>
      <c r="C1697" s="2" t="s">
        <v>2049</v>
      </c>
    </row>
    <row r="1698" ht="15.75" customHeight="1">
      <c r="A1698" s="2" t="s">
        <v>4</v>
      </c>
      <c r="B1698" s="2" t="str">
        <f>IFERROR(__xludf.DUMMYFUNCTION("CONCAT(""&lt;"",GOOGLETRANSLATE(B1697,""en"",""ar""))"),"&lt;احضرت")</f>
        <v>&lt;احضرت</v>
      </c>
      <c r="C1698" s="2" t="str">
        <f>IFERROR(__xludf.DUMMYFUNCTION("CONCAT(""&lt;"",GOOGLETRANSLATE(C1697,""en"",""ar""))"),"&lt;(أ) التعليم ، التمريض ؛ (ب) الواقع")</f>
        <v>&lt;(أ) التعليم ، التمريض ؛ (ب) الواقع</v>
      </c>
    </row>
    <row r="1699" ht="15.75" customHeight="1">
      <c r="A1699" s="1" t="s">
        <v>2050</v>
      </c>
      <c r="B1699" s="2" t="s">
        <v>2051</v>
      </c>
      <c r="C1699" s="2"/>
    </row>
    <row r="1700" ht="15.75" customHeight="1">
      <c r="B1700" s="2" t="s">
        <v>224</v>
      </c>
    </row>
    <row r="1701" ht="15.75" customHeight="1">
      <c r="A1701" s="2" t="s">
        <v>4</v>
      </c>
      <c r="B1701" s="2" t="str">
        <f>IFERROR(__xludf.DUMMYFUNCTION("CONCAT(""&lt;"",GOOGLETRANSLATE(B1700,""en"",""ar""))"),"&lt;حقا")</f>
        <v>&lt;حقا</v>
      </c>
      <c r="C1701" s="2"/>
    </row>
    <row r="1702" ht="15.75" customHeight="1">
      <c r="A1702" s="1" t="s">
        <v>2052</v>
      </c>
      <c r="B1702" s="2" t="s">
        <v>2053</v>
      </c>
      <c r="C1702" s="2"/>
    </row>
    <row r="1703" ht="15.75" customHeight="1">
      <c r="B1703" s="2" t="s">
        <v>1352</v>
      </c>
      <c r="C1703" s="2" t="s">
        <v>2054</v>
      </c>
    </row>
    <row r="1704" ht="15.75" customHeight="1">
      <c r="A1704" s="2" t="s">
        <v>4</v>
      </c>
      <c r="B1704" s="2" t="str">
        <f>IFERROR(__xludf.DUMMYFUNCTION("CONCAT(""&lt;"",GOOGLETRANSLATE(B1703,""en"",""ar""))"),"&lt;عمود")</f>
        <v>&lt;عمود</v>
      </c>
      <c r="C1704" s="2" t="str">
        <f>IFERROR(__xludf.DUMMYFUNCTION("CONCAT(""&lt;"",GOOGLETRANSLATE(C1703,""en"",""ar""))"),"&lt;عضادة الباب")</f>
        <v>&lt;عضادة الباب</v>
      </c>
    </row>
    <row r="1705" ht="15.75" customHeight="1">
      <c r="A1705" s="1" t="s">
        <v>2055</v>
      </c>
      <c r="B1705" s="2" t="s">
        <v>2056</v>
      </c>
      <c r="C1705" s="2"/>
    </row>
    <row r="1706" ht="15.75" customHeight="1">
      <c r="B1706" s="2" t="s">
        <v>2057</v>
      </c>
      <c r="C1706" s="2" t="s">
        <v>2058</v>
      </c>
    </row>
    <row r="1707" ht="15.75" customHeight="1">
      <c r="A1707" s="2" t="s">
        <v>4</v>
      </c>
      <c r="B1707" s="2" t="str">
        <f>IFERROR(__xludf.DUMMYFUNCTION("CONCAT(""&lt;"",GOOGLETRANSLATE(B1706,""en"",""ar""))"),"&lt;بالتأكيد")</f>
        <v>&lt;بالتأكيد</v>
      </c>
      <c r="C1707" s="2" t="str">
        <f>IFERROR(__xludf.DUMMYFUNCTION("CONCAT(""&lt;"",GOOGLETRANSLATE(C1706,""en"",""ar""))"),"&lt;(1) ترتيب جدير بالثقة")</f>
        <v>&lt;(1) ترتيب جدير بالثقة</v>
      </c>
    </row>
    <row r="1708" ht="15.75" customHeight="1">
      <c r="A1708" s="1" t="s">
        <v>2059</v>
      </c>
      <c r="B1708" s="2" t="s">
        <v>2060</v>
      </c>
      <c r="C1708" s="2"/>
    </row>
    <row r="1709" ht="15.75" customHeight="1">
      <c r="B1709" s="2" t="s">
        <v>2061</v>
      </c>
      <c r="C1709" s="2" t="s">
        <v>2062</v>
      </c>
    </row>
    <row r="1710" ht="15.75" customHeight="1">
      <c r="A1710" s="2" t="s">
        <v>4</v>
      </c>
      <c r="B1710" s="2" t="str">
        <f>IFERROR(__xludf.DUMMYFUNCTION("CONCAT(""&lt;"",GOOGLETRANSLATE(B1709,""en"",""ar""))"),"&lt;أمانا")</f>
        <v>&lt;أمانا</v>
      </c>
      <c r="C1710" s="2" t="str">
        <f>IFERROR(__xludf.DUMMYFUNCTION("CONCAT(""&lt;"",GOOGLETRANSLATE(C1709,""en"",""ar""))"),"&lt;(2 أ) أمانا ؛ نهر؛ سوريا؛ (ب) أمانا ؛ جبل؛ ليبنان")</f>
        <v>&lt;(2 أ) أمانا ؛ نهر؛ سوريا؛ (ب) أمانا ؛ جبل؛ ليبنان</v>
      </c>
    </row>
    <row r="1711" ht="15.75" customHeight="1">
      <c r="A1711" s="1" t="s">
        <v>2063</v>
      </c>
      <c r="B1711" s="2" t="s">
        <v>2064</v>
      </c>
      <c r="C1711" s="2"/>
    </row>
    <row r="1712" ht="15.75" customHeight="1">
      <c r="B1712" s="2" t="s">
        <v>2065</v>
      </c>
      <c r="C1712" s="2" t="s">
        <v>2066</v>
      </c>
    </row>
    <row r="1713" ht="15.75" customHeight="1">
      <c r="A1713" s="2" t="s">
        <v>4</v>
      </c>
      <c r="B1713" s="2" t="str">
        <f>IFERROR(__xludf.DUMMYFUNCTION("CONCAT(""&lt;"",GOOGLETRANSLATE(B1712,""en"",""ar""))"),"&lt;Amnon")</f>
        <v>&lt;Amnon</v>
      </c>
      <c r="C1713" s="2" t="str">
        <f>IFERROR(__xludf.DUMMYFUNCTION("CONCAT(""&lt;"",GOOGLETRANSLATE(C1712,""en"",""ar""))"),"&lt;(a) אֲמִינוֹן   Amnon; ابن ديفيد (ب) أمينون ؛ ابن شيمون قبيلة يهوذا")</f>
        <v>&lt;(a) אֲמִינוֹן   Amnon; ابن ديفيد (ب) أمينون ؛ ابن شيمون قبيلة يهوذا</v>
      </c>
    </row>
    <row r="1714" ht="15.75" customHeight="1">
      <c r="A1714" s="1" t="s">
        <v>2067</v>
      </c>
      <c r="B1714" s="2" t="s">
        <v>2068</v>
      </c>
      <c r="C1714" s="2"/>
    </row>
    <row r="1715" ht="15.75" customHeight="1">
      <c r="B1715" s="2" t="s">
        <v>224</v>
      </c>
      <c r="C1715" s="2" t="s">
        <v>2069</v>
      </c>
    </row>
    <row r="1716" ht="15.75" customHeight="1">
      <c r="A1716" s="2" t="s">
        <v>4</v>
      </c>
      <c r="B1716" s="2" t="str">
        <f>IFERROR(__xludf.DUMMYFUNCTION("CONCAT(""&lt;"",GOOGLETRANSLATE(B1715,""en"",""ar""))"),"&lt;حقا")</f>
        <v>&lt;حقا</v>
      </c>
      <c r="C1716" s="2" t="str">
        <f>IFERROR(__xludf.DUMMYFUNCTION("CONCAT(""&lt;"",GOOGLETRANSLATE(C1715,""en"",""ar""))"),"&lt;حقا ، في الواقع")</f>
        <v>&lt;حقا ، في الواقع</v>
      </c>
    </row>
    <row r="1717" ht="15.75" customHeight="1">
      <c r="A1717" s="1" t="s">
        <v>2070</v>
      </c>
      <c r="B1717" s="2" t="s">
        <v>2051</v>
      </c>
      <c r="C1717" s="2"/>
    </row>
    <row r="1718" ht="15.75" customHeight="1">
      <c r="B1718" s="2" t="s">
        <v>224</v>
      </c>
      <c r="C1718" s="2" t="s">
        <v>2069</v>
      </c>
    </row>
    <row r="1719" ht="15.75" customHeight="1">
      <c r="A1719" s="2" t="s">
        <v>4</v>
      </c>
      <c r="B1719" s="2" t="str">
        <f>IFERROR(__xludf.DUMMYFUNCTION("CONCAT(""&lt;"",GOOGLETRANSLATE(B1718,""en"",""ar""))"),"&lt;حقا")</f>
        <v>&lt;حقا</v>
      </c>
      <c r="C1719" s="2" t="str">
        <f>IFERROR(__xludf.DUMMYFUNCTION("CONCAT(""&lt;"",GOOGLETRANSLATE(C1718,""en"",""ar""))"),"&lt;حقا ، في الواقع")</f>
        <v>&lt;حقا ، في الواقع</v>
      </c>
    </row>
    <row r="1720" ht="15.75" customHeight="1">
      <c r="A1720" s="1" t="s">
        <v>2071</v>
      </c>
      <c r="B1720" s="2" t="s">
        <v>2072</v>
      </c>
      <c r="C1720" s="2"/>
    </row>
    <row r="1721" ht="15.75" customHeight="1">
      <c r="B1721" s="2" t="s">
        <v>2073</v>
      </c>
      <c r="C1721" s="2" t="s">
        <v>2074</v>
      </c>
    </row>
    <row r="1722" ht="15.75" customHeight="1">
      <c r="A1722" s="2" t="s">
        <v>4</v>
      </c>
      <c r="B1722" s="2" t="str">
        <f>IFERROR(__xludf.DUMMYFUNCTION("CONCAT(""&lt;"",GOOGLETRANSLATE(B1721,""en"",""ar""))"),"&lt;لتعزيز")</f>
        <v>&lt;لتعزيز</v>
      </c>
      <c r="C1722" s="2" t="str">
        <f>IFERROR(__xludf.DUMMYFUNCTION("CONCAT(""&lt;"",GOOGLETRANSLATE(C1721,""en"",""ar""))"),"&lt;(أ) QAL لتكون قوية ؛ (ب) بي. لتعزيز؛ (ج) لتصلب. (د) HITP. لتقوية نفسه (هـ) HITP. لاتخاذ الشجاعة (و) HIF. لاتخاذ الشجاعة")</f>
        <v>&lt;(أ) QAL لتكون قوية ؛ (ب) بي. لتعزيز؛ (ج) لتصلب. (د) HITP. لتقوية نفسه (هـ) HITP. لاتخاذ الشجاعة (و) HIF. لاتخاذ الشجاعة</v>
      </c>
    </row>
    <row r="1723" ht="15.75" customHeight="1">
      <c r="A1723" s="1" t="s">
        <v>2075</v>
      </c>
      <c r="B1723" s="2" t="s">
        <v>2076</v>
      </c>
      <c r="C1723" s="2"/>
    </row>
    <row r="1724" ht="15.75" customHeight="1">
      <c r="B1724" s="2" t="s">
        <v>1480</v>
      </c>
      <c r="C1724" s="2" t="s">
        <v>2077</v>
      </c>
    </row>
    <row r="1725" ht="15.75" customHeight="1">
      <c r="A1725" s="2" t="s">
        <v>4</v>
      </c>
      <c r="B1725" s="2" t="str">
        <f>IFERROR(__xludf.DUMMYFUNCTION("CONCAT(""&lt;"",GOOGLETRANSLATE(B1724,""en"",""ar""))"),"&lt;قوي")</f>
        <v>&lt;قوي</v>
      </c>
      <c r="C1725" s="2" t="str">
        <f>IFERROR(__xludf.DUMMYFUNCTION("CONCAT(""&lt;"",GOOGLETRANSLATE(C1724,""en"",""ar""))"),"&lt;أبقع")</f>
        <v>&lt;أبقع</v>
      </c>
    </row>
    <row r="1726" ht="15.75" customHeight="1">
      <c r="A1726" s="1" t="s">
        <v>2078</v>
      </c>
      <c r="B1726" s="2" t="s">
        <v>2079</v>
      </c>
      <c r="C1726" s="2"/>
    </row>
    <row r="1727" ht="15.75" customHeight="1">
      <c r="B1727" s="2" t="s">
        <v>771</v>
      </c>
      <c r="C1727" s="2" t="s">
        <v>771</v>
      </c>
    </row>
    <row r="1728" ht="15.75" customHeight="1">
      <c r="A1728" s="2" t="s">
        <v>4</v>
      </c>
      <c r="B1728" s="2" t="str">
        <f>IFERROR(__xludf.DUMMYFUNCTION("CONCAT(""&lt;"",GOOGLETRANSLATE(B1727,""en"",""ar""))"),"&lt;قوة")</f>
        <v>&lt;قوة</v>
      </c>
      <c r="C1728" s="2" t="str">
        <f>IFERROR(__xludf.DUMMYFUNCTION("CONCAT(""&lt;"",GOOGLETRANSLATE(C1727,""en"",""ar""))"),"&lt;قوة")</f>
        <v>&lt;قوة</v>
      </c>
    </row>
    <row r="1729" ht="15.75" customHeight="1">
      <c r="A1729" s="1" t="s">
        <v>2080</v>
      </c>
      <c r="B1729" s="2" t="s">
        <v>2079</v>
      </c>
      <c r="C1729" s="2"/>
    </row>
    <row r="1730" ht="15.75" customHeight="1">
      <c r="B1730" s="2" t="s">
        <v>771</v>
      </c>
      <c r="C1730" s="2" t="s">
        <v>771</v>
      </c>
    </row>
    <row r="1731" ht="15.75" customHeight="1">
      <c r="A1731" s="2" t="s">
        <v>4</v>
      </c>
      <c r="B1731" s="2" t="str">
        <f>IFERROR(__xludf.DUMMYFUNCTION("CONCAT(""&lt;"",GOOGLETRANSLATE(B1730,""en"",""ar""))"),"&lt;قوة")</f>
        <v>&lt;قوة</v>
      </c>
      <c r="C1731" s="2" t="str">
        <f>IFERROR(__xludf.DUMMYFUNCTION("CONCAT(""&lt;"",GOOGLETRANSLATE(C1730,""en"",""ar""))"),"&lt;قوة")</f>
        <v>&lt;قوة</v>
      </c>
    </row>
    <row r="1732" ht="15.75" customHeight="1">
      <c r="A1732" s="1" t="s">
        <v>2081</v>
      </c>
      <c r="B1732" s="2" t="s">
        <v>2082</v>
      </c>
      <c r="C1732" s="2"/>
    </row>
    <row r="1733" ht="15.75" customHeight="1">
      <c r="B1733" s="2" t="s">
        <v>2083</v>
      </c>
      <c r="C1733" s="2" t="s">
        <v>2084</v>
      </c>
    </row>
    <row r="1734" ht="15.75" customHeight="1">
      <c r="A1734" s="2" t="s">
        <v>4</v>
      </c>
      <c r="B1734" s="2" t="str">
        <f>IFERROR(__xludf.DUMMYFUNCTION("CONCAT(""&lt;"",GOOGLETRANSLATE(B1733,""en"",""ar""))"),"&lt;Amzi")</f>
        <v>&lt;Amzi</v>
      </c>
      <c r="C1734" s="2" t="str">
        <f>IFERROR(__xludf.DUMMYFUNCTION("CONCAT(""&lt;"",GOOGLETRANSLATE(C1733,""en"",""ar""))"),"&lt;(أ) Amzi ؛ ابن باني سلف إيثان قبيلة ليفي (ب) Amzi ؛ ابن زكريا ؛ سلف أدايه ، كاهن ؛ قبيلة ليفي")</f>
        <v>&lt;(أ) Amzi ؛ ابن باني سلف إيثان قبيلة ليفي (ب) Amzi ؛ ابن زكريا ؛ سلف أدايه ، كاهن ؛ قبيلة ليفي</v>
      </c>
    </row>
    <row r="1735" ht="15.75" customHeight="1">
      <c r="A1735" s="1" t="s">
        <v>2085</v>
      </c>
      <c r="B1735" s="2" t="s">
        <v>2086</v>
      </c>
      <c r="C1735" s="2"/>
    </row>
    <row r="1736" ht="15.75" customHeight="1">
      <c r="B1736" s="2" t="s">
        <v>2087</v>
      </c>
      <c r="C1736" s="2" t="s">
        <v>2088</v>
      </c>
    </row>
    <row r="1737" ht="15.75" customHeight="1">
      <c r="A1737" s="2" t="s">
        <v>4</v>
      </c>
      <c r="B1737" s="2" t="str">
        <f>IFERROR(__xludf.DUMMYFUNCTION("CONCAT(""&lt;"",GOOGLETRANSLATE(B1736,""en"",""ar""))"),"&lt;amaziah")</f>
        <v>&lt;amaziah</v>
      </c>
      <c r="C1737" s="2" t="str">
        <f>IFERROR(__xludf.DUMMYFUNCTION("CONCAT(""&lt;"",GOOGLETRANSLATE(C1736,""en"",""ar""))"),"&lt;(a) אֲמַצְיָהוּ   Amaziah; نجل Joash ملك يهوذا (ب) Amaziah ؛ والد جوشه قبيلة سيمون ؛ (ج) Amaziah ؛ ابن هيلكيا. سلف إيثان قبيلة ليفي (د) Amaziah ؛ كاهن بيثيل. وقت النبي عاموس")</f>
        <v>&lt;(a) אֲמַצְיָהוּ   Amaziah; نجل Joash ملك يهوذا (ب) Amaziah ؛ والد جوشه قبيلة سيمون ؛ (ج) Amaziah ؛ ابن هيلكيا. سلف إيثان قبيلة ليفي (د) Amaziah ؛ كاهن بيثيل. وقت النبي عاموس</v>
      </c>
    </row>
    <row r="1738" ht="15.75" customHeight="1">
      <c r="A1738" s="1" t="s">
        <v>2089</v>
      </c>
      <c r="B1738" s="2" t="s">
        <v>2090</v>
      </c>
      <c r="C1738" s="2"/>
    </row>
    <row r="1739" ht="15.75" customHeight="1">
      <c r="B1739" s="2" t="s">
        <v>2091</v>
      </c>
      <c r="C1739" s="2" t="s">
        <v>2092</v>
      </c>
    </row>
    <row r="1740" ht="15.75" customHeight="1">
      <c r="A1740" s="2" t="s">
        <v>4</v>
      </c>
      <c r="B1740" s="2" t="str">
        <f>IFERROR(__xludf.DUMMYFUNCTION("CONCAT(""&lt;"",GOOGLETRANSLATE(B1739,""en"",""ar""))"),"&lt;ليقول")</f>
        <v>&lt;ليقول</v>
      </c>
      <c r="C1740" s="2" t="str">
        <f>IFERROR(__xludf.DUMMYFUNCTION("CONCAT(""&lt;"",GOOGLETRANSLATE(C1739,""en"",""ar""))"),"&lt;(أ) QAL ليقول ، الأمر ؛ (ب) نيف. ليقال ، دعا ؛ (ج) HITP. لتفاخر نفسه (د) HIF. للتسبب في الوعد؟")</f>
        <v>&lt;(أ) QAL ليقول ، الأمر ؛ (ب) نيف. ليقال ، دعا ؛ (ج) HITP. لتفاخر نفسه (د) HIF. للتسبب في الوعد؟</v>
      </c>
    </row>
    <row r="1741" ht="15.75" customHeight="1">
      <c r="A1741" s="1" t="s">
        <v>2093</v>
      </c>
      <c r="B1741" s="2" t="s">
        <v>2094</v>
      </c>
      <c r="C1741" s="2"/>
    </row>
    <row r="1742" ht="15.75" customHeight="1">
      <c r="B1742" s="2" t="s">
        <v>2091</v>
      </c>
      <c r="C1742" s="2" t="s">
        <v>2092</v>
      </c>
    </row>
    <row r="1743" ht="15.75" customHeight="1">
      <c r="A1743" s="2" t="s">
        <v>4</v>
      </c>
      <c r="B1743" s="2" t="str">
        <f>IFERROR(__xludf.DUMMYFUNCTION("CONCAT(""&lt;"",GOOGLETRANSLATE(B1742,""en"",""ar""))"),"&lt;ليقول")</f>
        <v>&lt;ليقول</v>
      </c>
      <c r="C1743" s="2" t="str">
        <f>IFERROR(__xludf.DUMMYFUNCTION("CONCAT(""&lt;"",GOOGLETRANSLATE(C1742,""en"",""ar""))"),"&lt;(أ) QAL ليقول ، الأمر ؛ (ب) نيف. ليقال ، دعا ؛ (ج) HITP. لتفاخر نفسه (د) HIF. للتسبب في الوعد؟")</f>
        <v>&lt;(أ) QAL ليقول ، الأمر ؛ (ب) نيف. ليقال ، دعا ؛ (ج) HITP. لتفاخر نفسه (د) HIF. للتسبب في الوعد؟</v>
      </c>
    </row>
    <row r="1744" ht="15.75" customHeight="1">
      <c r="A1744" s="1" t="s">
        <v>2095</v>
      </c>
      <c r="B1744" s="2" t="s">
        <v>2096</v>
      </c>
      <c r="C1744" s="2"/>
    </row>
    <row r="1745" ht="15.75" customHeight="1">
      <c r="B1745" s="2" t="s">
        <v>2097</v>
      </c>
      <c r="C1745" s="2" t="s">
        <v>2098</v>
      </c>
    </row>
    <row r="1746" ht="15.75" customHeight="1">
      <c r="A1746" s="2" t="s">
        <v>4</v>
      </c>
      <c r="B1746" s="2" t="str">
        <f>IFERROR(__xludf.DUMMYFUNCTION("CONCAT(""&lt;"",GOOGLETRANSLATE(B1745,""en"",""ar""))"),"&lt;كلمة")</f>
        <v>&lt;كلمة</v>
      </c>
      <c r="C1746" s="2" t="str">
        <f>IFERROR(__xludf.DUMMYFUNCTION("CONCAT(""&lt;"",GOOGLETRANSLATE(C1745,""en"",""ar""))"),"&lt;(قول مأثور؛ (ب) شيء")</f>
        <v>&lt;(قول مأثور؛ (ب) شيء</v>
      </c>
    </row>
    <row r="1747" ht="15.75" customHeight="1">
      <c r="A1747" s="1" t="s">
        <v>2099</v>
      </c>
      <c r="B1747" s="2" t="s">
        <v>2096</v>
      </c>
      <c r="C1747" s="2"/>
    </row>
    <row r="1748" ht="15.75" customHeight="1">
      <c r="B1748" s="2" t="s">
        <v>2097</v>
      </c>
      <c r="C1748" s="2" t="s">
        <v>2098</v>
      </c>
    </row>
    <row r="1749" ht="15.75" customHeight="1">
      <c r="A1749" s="2" t="s">
        <v>4</v>
      </c>
      <c r="B1749" s="2" t="str">
        <f>IFERROR(__xludf.DUMMYFUNCTION("CONCAT(""&lt;"",GOOGLETRANSLATE(B1748,""en"",""ar""))"),"&lt;كلمة")</f>
        <v>&lt;كلمة</v>
      </c>
      <c r="C1749" s="2" t="str">
        <f>IFERROR(__xludf.DUMMYFUNCTION("CONCAT(""&lt;"",GOOGLETRANSLATE(C1748,""en"",""ar""))"),"&lt;(قول مأثور؛ (ب) شيء")</f>
        <v>&lt;(قول مأثور؛ (ب) شيء</v>
      </c>
    </row>
    <row r="1750" ht="15.75" customHeight="1">
      <c r="A1750" s="1" t="s">
        <v>2100</v>
      </c>
      <c r="B1750" s="2" t="s">
        <v>2101</v>
      </c>
      <c r="C1750" s="2"/>
    </row>
    <row r="1751" ht="15.75" customHeight="1">
      <c r="B1751" s="2" t="s">
        <v>2102</v>
      </c>
    </row>
    <row r="1752" ht="15.75" customHeight="1">
      <c r="A1752" s="2" t="s">
        <v>4</v>
      </c>
      <c r="B1752" s="2" t="str">
        <f>IFERROR(__xludf.DUMMYFUNCTION("CONCAT(""&lt;"",GOOGLETRANSLATE(B1751,""en"",""ar""))"),"&lt;حمَل")</f>
        <v>&lt;حمَل</v>
      </c>
      <c r="C1752" s="2"/>
    </row>
    <row r="1753" ht="15.75" customHeight="1">
      <c r="A1753" s="1" t="s">
        <v>2103</v>
      </c>
      <c r="B1753" s="2" t="s">
        <v>2104</v>
      </c>
      <c r="C1753" s="2"/>
    </row>
    <row r="1754" ht="15.75" customHeight="1">
      <c r="B1754" s="2" t="s">
        <v>2105</v>
      </c>
      <c r="C1754" s="2" t="s">
        <v>2106</v>
      </c>
    </row>
    <row r="1755" ht="15.75" customHeight="1">
      <c r="A1755" s="2" t="s">
        <v>4</v>
      </c>
      <c r="B1755" s="2" t="str">
        <f>IFERROR(__xludf.DUMMYFUNCTION("CONCAT(""&lt;"",GOOGLETRANSLATE(B1754,""en"",""ar""))"),"&lt;آمن")</f>
        <v>&lt;آمن</v>
      </c>
      <c r="C1755" s="2" t="str">
        <f>IFERROR(__xludf.DUMMYFUNCTION("CONCAT(""&lt;"",GOOGLETRANSLATE(C1754,""en"",""ar""))"),"&lt;(أ) الاندماج. سلف الماساي ، أماشاي ، كاهن ؛ (ب) الاندماج. كاهن؛ وقت داود (ج) الاندماج. رأس الأسرة بعد المنفى (د) الاندماج. موقع؛ (هـ) الاندماج ؛ والد بشور ، كاهن")</f>
        <v>&lt;(أ) الاندماج. سلف الماساي ، أماشاي ، كاهن ؛ (ب) الاندماج. كاهن؛ وقت داود (ج) الاندماج. رأس الأسرة بعد المنفى (د) الاندماج. موقع؛ (هـ) الاندماج ؛ والد بشور ، كاهن</v>
      </c>
    </row>
    <row r="1756" ht="15.75" customHeight="1">
      <c r="A1756" s="1" t="s">
        <v>2107</v>
      </c>
      <c r="B1756" s="2" t="s">
        <v>2108</v>
      </c>
      <c r="C1756" s="2"/>
    </row>
    <row r="1757" ht="15.75" customHeight="1">
      <c r="B1757" s="2" t="s">
        <v>2097</v>
      </c>
      <c r="C1757" s="2" t="s">
        <v>2109</v>
      </c>
    </row>
    <row r="1758" ht="15.75" customHeight="1">
      <c r="A1758" s="2" t="s">
        <v>4</v>
      </c>
      <c r="B1758" s="2" t="str">
        <f>IFERROR(__xludf.DUMMYFUNCTION("CONCAT(""&lt;"",GOOGLETRANSLATE(B1757,""en"",""ar""))"),"&lt;كلمة")</f>
        <v>&lt;كلمة</v>
      </c>
      <c r="C1758" s="2" t="str">
        <f>IFERROR(__xludf.DUMMYFUNCTION("CONCAT(""&lt;"",GOOGLETRANSLATE(C1757,""en"",""ar""))"),"&lt;كلمة ، خطاب")</f>
        <v>&lt;كلمة ، خطاب</v>
      </c>
    </row>
    <row r="1759" ht="15.75" customHeight="1">
      <c r="A1759" s="1" t="s">
        <v>2110</v>
      </c>
      <c r="B1759" s="2" t="s">
        <v>2111</v>
      </c>
      <c r="C1759" s="2"/>
    </row>
    <row r="1760" ht="15.75" customHeight="1">
      <c r="B1760" s="2" t="s">
        <v>2112</v>
      </c>
      <c r="C1760" s="2" t="s">
        <v>2113</v>
      </c>
    </row>
    <row r="1761" ht="15.75" customHeight="1">
      <c r="A1761" s="2" t="s">
        <v>4</v>
      </c>
      <c r="B1761" s="2" t="str">
        <f>IFERROR(__xludf.DUMMYFUNCTION("CONCAT(""&lt;"",GOOGLETRANSLATE(B1760,""en"",""ar""))"),"&lt;تهديد")</f>
        <v>&lt;تهديد</v>
      </c>
      <c r="C1761" s="2" t="str">
        <f>IFERROR(__xludf.DUMMYFUNCTION("CONCAT(""&lt;"",GOOGLETRANSLATE(C1760,""en"",""ar""))"),"&lt;تهديد ، تحذير")</f>
        <v>&lt;تهديد ، تحذير</v>
      </c>
    </row>
    <row r="1762" ht="15.75" customHeight="1">
      <c r="A1762" s="1" t="s">
        <v>2114</v>
      </c>
      <c r="B1762" s="2" t="s">
        <v>2115</v>
      </c>
      <c r="C1762" s="2"/>
    </row>
    <row r="1763" ht="15.75" customHeight="1">
      <c r="B1763" s="2" t="s">
        <v>2116</v>
      </c>
      <c r="C1763" s="2" t="s">
        <v>2117</v>
      </c>
    </row>
    <row r="1764" ht="15.75" customHeight="1">
      <c r="A1764" s="2" t="s">
        <v>4</v>
      </c>
      <c r="B1764" s="2" t="str">
        <f>IFERROR(__xludf.DUMMYFUNCTION("CONCAT(""&lt;"",GOOGLETRANSLATE(B1763,""en"",""ar""))"),"&lt;Imri")</f>
        <v>&lt;Imri</v>
      </c>
      <c r="C1764" s="2" t="str">
        <f>IFERROR(__xludf.DUMMYFUNCTION("CONCAT(""&lt;"",GOOGLETRANSLATE(C1763,""en"",""ar""))"),"&lt;(أ) IMRI ؛ ابن باني سلف أوثاي. قبيلة يهوذا (ب) Imri ؛ والد زاكور مصلح الجدار. بعد المنفى")</f>
        <v>&lt;(أ) IMRI ؛ ابن باني سلف أوثاي. قبيلة يهوذا (ب) Imri ؛ والد زاكور مصلح الجدار. بعد المنفى</v>
      </c>
    </row>
    <row r="1765" ht="15.75" customHeight="1">
      <c r="A1765" s="1" t="s">
        <v>2118</v>
      </c>
      <c r="B1765" s="2" t="s">
        <v>2119</v>
      </c>
      <c r="C1765" s="2"/>
    </row>
    <row r="1766" ht="15.75" customHeight="1">
      <c r="B1766" s="2" t="s">
        <v>2120</v>
      </c>
      <c r="C1766" s="2" t="s">
        <v>2121</v>
      </c>
    </row>
    <row r="1767" ht="15.75" customHeight="1">
      <c r="A1767" s="2" t="s">
        <v>4</v>
      </c>
      <c r="B1767" s="2" t="str">
        <f>IFERROR(__xludf.DUMMYFUNCTION("CONCAT(""&lt;"",GOOGLETRANSLATE(B1766,""en"",""ar""))"),"&lt;الأموريين")</f>
        <v>&lt;الأموريين</v>
      </c>
      <c r="C1767" s="2" t="str">
        <f>IFERROR(__xludf.DUMMYFUNCTION("CONCAT(""&lt;"",GOOGLETRANSLATE(C1766,""en"",""ar""))"),"&lt;أموريت سليل كنعان")</f>
        <v>&lt;أموريت سليل كنعان</v>
      </c>
    </row>
    <row r="1768" ht="15.75" customHeight="1">
      <c r="A1768" s="1" t="s">
        <v>2122</v>
      </c>
      <c r="B1768" s="2" t="s">
        <v>2123</v>
      </c>
      <c r="C1768" s="2"/>
    </row>
    <row r="1769" ht="15.75" customHeight="1">
      <c r="B1769" s="2" t="s">
        <v>2124</v>
      </c>
      <c r="C1769" s="2" t="s">
        <v>2125</v>
      </c>
    </row>
    <row r="1770" ht="15.75" customHeight="1">
      <c r="A1770" s="2" t="s">
        <v>4</v>
      </c>
      <c r="B1770" s="2" t="str">
        <f>IFERROR(__xludf.DUMMYFUNCTION("CONCAT(""&lt;"",GOOGLETRANSLATE(B1769,""en"",""ar""))"),"&lt;أمريا")</f>
        <v>&lt;أمريا</v>
      </c>
      <c r="C1770" s="2" t="str">
        <f>IFERROR(__xludf.DUMMYFUNCTION("CONCAT(""&lt;"",GOOGLETRANSLATE(C1769,""en"",""ar""))"),"&lt;(أ) أمريا ؛ ابن ميرايوث الكاهن الاكبر؛ قبيلة ليفي (ب) أمريا ؛ ابن أزريا. الكاهن الاكبر؛ قبيلة ليفي (ج) أمريا ؛ نسل الخليل ؛ قبيلة ليفي وقت الملك داود (د) أمريا ؛ رجل؛ بعد المنفى (هـ) أمريا ؛ ابن شيباتيا ؛ بعد المنفى (و) أمريا ؛ ابن حزقيا. سلف النبي زيفان"&amp;"يا")</f>
        <v>&lt;(أ) أمريا ؛ ابن ميرايوث الكاهن الاكبر؛ قبيلة ليفي (ب) أمريا ؛ ابن أزريا. الكاهن الاكبر؛ قبيلة ليفي (ج) أمريا ؛ نسل الخليل ؛ قبيلة ليفي وقت الملك داود (د) أمريا ؛ رجل؛ بعد المنفى (هـ) أمريا ؛ ابن شيباتيا ؛ بعد المنفى (و) أمريا ؛ ابن حزقيا. سلف النبي زيفانيا</v>
      </c>
    </row>
    <row r="1771" ht="15.75" customHeight="1">
      <c r="A1771" s="1" t="s">
        <v>2126</v>
      </c>
      <c r="B1771" s="2" t="s">
        <v>2127</v>
      </c>
      <c r="C1771" s="2"/>
    </row>
    <row r="1772" ht="15.75" customHeight="1">
      <c r="B1772" s="2" t="s">
        <v>2128</v>
      </c>
      <c r="C1772" s="2" t="s">
        <v>2129</v>
      </c>
    </row>
    <row r="1773" ht="15.75" customHeight="1">
      <c r="A1773" s="2" t="s">
        <v>4</v>
      </c>
      <c r="B1773" s="2" t="str">
        <f>IFERROR(__xludf.DUMMYFUNCTION("CONCAT(""&lt;"",GOOGLETRANSLATE(B1772,""en"",""ar""))"),"&lt;عمرافيل")</f>
        <v>&lt;عمرافيل</v>
      </c>
      <c r="C1773" s="2" t="str">
        <f>IFERROR(__xludf.DUMMYFUNCTION("CONCAT(""&lt;"",GOOGLETRANSLATE(C1772,""en"",""ar""))"),"&lt;عمرافيل ملك شينار")</f>
        <v>&lt;عمرافيل ملك شينار</v>
      </c>
    </row>
    <row r="1774" ht="15.75" customHeight="1">
      <c r="A1774" s="1" t="s">
        <v>2130</v>
      </c>
      <c r="B1774" s="2" t="s">
        <v>2131</v>
      </c>
      <c r="C1774" s="2"/>
    </row>
    <row r="1775" ht="15.75" customHeight="1">
      <c r="B1775" s="2" t="s">
        <v>2132</v>
      </c>
      <c r="C1775" s="2" t="s">
        <v>2132</v>
      </c>
    </row>
    <row r="1776" ht="15.75" customHeight="1">
      <c r="A1776" s="2" t="s">
        <v>4</v>
      </c>
      <c r="B1776" s="2" t="str">
        <f>IFERROR(__xludf.DUMMYFUNCTION("CONCAT(""&lt;"",GOOGLETRANSLATE(B1775,""en"",""ar""))"),"&lt;ليلة أمس")</f>
        <v>&lt;ليلة أمس</v>
      </c>
      <c r="C1776" s="2" t="str">
        <f>IFERROR(__xludf.DUMMYFUNCTION("CONCAT(""&lt;"",GOOGLETRANSLATE(C1775,""en"",""ar""))"),"&lt;ليلة أمس")</f>
        <v>&lt;ليلة أمس</v>
      </c>
    </row>
    <row r="1777" ht="15.75" customHeight="1">
      <c r="A1777" s="1" t="s">
        <v>2133</v>
      </c>
      <c r="B1777" s="2" t="s">
        <v>2134</v>
      </c>
      <c r="C1777" s="2"/>
    </row>
    <row r="1778" ht="15.75" customHeight="1">
      <c r="B1778" s="2" t="s">
        <v>2135</v>
      </c>
      <c r="C1778" s="2" t="s">
        <v>2136</v>
      </c>
    </row>
    <row r="1779" ht="15.75" customHeight="1">
      <c r="A1779" s="2" t="s">
        <v>4</v>
      </c>
      <c r="B1779" s="2" t="str">
        <f>IFERROR(__xludf.DUMMYFUNCTION("CONCAT(""&lt;"",GOOGLETRANSLATE(B1778,""en"",""ar""))"),"&lt;حقيقة")</f>
        <v>&lt;حقيقة</v>
      </c>
      <c r="C1779" s="2" t="str">
        <f>IFERROR(__xludf.DUMMYFUNCTION("CONCAT(""&lt;"",GOOGLETRANSLATE(C1778,""en"",""ar""))"),"&lt;الحزم ، الإخلاص ، الحقيقة")</f>
        <v>&lt;الحزم ، الإخلاص ، الحقيقة</v>
      </c>
    </row>
    <row r="1780" ht="15.75" customHeight="1">
      <c r="A1780" s="1" t="s">
        <v>2137</v>
      </c>
      <c r="B1780" s="2" t="s">
        <v>2138</v>
      </c>
      <c r="C1780" s="2"/>
    </row>
    <row r="1781" ht="15.75" customHeight="1">
      <c r="B1781" s="2" t="s">
        <v>2139</v>
      </c>
      <c r="C1781" s="2" t="s">
        <v>2140</v>
      </c>
    </row>
    <row r="1782" ht="15.75" customHeight="1">
      <c r="A1782" s="2" t="s">
        <v>4</v>
      </c>
      <c r="B1782" s="2" t="str">
        <f>IFERROR(__xludf.DUMMYFUNCTION("CONCAT(""&lt;"",GOOGLETRANSLATE(B1781,""en"",""ar""))"),"&lt;كيس")</f>
        <v>&lt;كيس</v>
      </c>
      <c r="C1782" s="2" t="str">
        <f>IFERROR(__xludf.DUMMYFUNCTION("CONCAT(""&lt;"",GOOGLETRANSLATE(C1781,""en"",""ar""))"),"&lt;كيس ، حقيبة")</f>
        <v>&lt;كيس ، حقيبة</v>
      </c>
    </row>
    <row r="1783" ht="15.75" customHeight="1">
      <c r="A1783" s="1" t="s">
        <v>2141</v>
      </c>
      <c r="B1783" s="2" t="s">
        <v>2142</v>
      </c>
      <c r="C1783" s="2"/>
    </row>
    <row r="1784" ht="15.75" customHeight="1">
      <c r="B1784" s="2" t="s">
        <v>2143</v>
      </c>
      <c r="C1784" s="2" t="s">
        <v>2144</v>
      </c>
    </row>
    <row r="1785" ht="15.75" customHeight="1">
      <c r="A1785" s="2" t="s">
        <v>4</v>
      </c>
      <c r="B1785" s="2" t="str">
        <f>IFERROR(__xludf.DUMMYFUNCTION("CONCAT(""&lt;"",GOOGLETRANSLATE(B1784,""en"",""ar""))"),"&lt;أميتاي")</f>
        <v>&lt;أميتاي</v>
      </c>
      <c r="C1785" s="2" t="str">
        <f>IFERROR(__xludf.DUMMYFUNCTION("CONCAT(""&lt;"",GOOGLETRANSLATE(C1784,""en"",""ar""))"),"&lt;أميتاي والد النبي يونان")</f>
        <v>&lt;أميتاي والد النبي يونان</v>
      </c>
    </row>
    <row r="1786" ht="15.75" customHeight="1">
      <c r="A1786" s="1" t="s">
        <v>2145</v>
      </c>
      <c r="B1786" s="2" t="s">
        <v>2146</v>
      </c>
      <c r="C1786" s="2"/>
    </row>
    <row r="1787" ht="15.75" customHeight="1">
      <c r="B1787" s="2" t="s">
        <v>1409</v>
      </c>
    </row>
    <row r="1788" ht="15.75" customHeight="1">
      <c r="A1788" s="2" t="s">
        <v>4</v>
      </c>
      <c r="B1788" s="2" t="str">
        <f>IFERROR(__xludf.DUMMYFUNCTION("CONCAT(""&lt;"",GOOGLETRANSLATE(B1787,""en"",""ar""))"),"&lt;رهيب")</f>
        <v>&lt;رهيب</v>
      </c>
      <c r="C1788" s="2"/>
    </row>
    <row r="1789" ht="15.75" customHeight="1">
      <c r="A1789" s="1" t="s">
        <v>2147</v>
      </c>
      <c r="B1789" s="2" t="s">
        <v>2148</v>
      </c>
      <c r="C1789" s="2"/>
    </row>
    <row r="1790" ht="15.75" customHeight="1">
      <c r="B1790" s="2" t="s">
        <v>626</v>
      </c>
      <c r="C1790" s="2" t="s">
        <v>627</v>
      </c>
    </row>
    <row r="1791" ht="15.75" customHeight="1">
      <c r="A1791" s="2" t="s">
        <v>4</v>
      </c>
      <c r="B1791" s="2" t="str">
        <f>IFERROR(__xludf.DUMMYFUNCTION("CONCAT(""&lt;"",GOOGLETRANSLATE(B1790,""en"",""ar""))"),"&lt;أين؟")</f>
        <v>&lt;أين؟</v>
      </c>
      <c r="C1791" s="2" t="str">
        <f>IFERROR(__xludf.DUMMYFUNCTION("CONCAT(""&lt;"",GOOGLETRANSLATE(C1790,""en"",""ar""))"),"&lt;سؤال أين؟")</f>
        <v>&lt;سؤال أين؟</v>
      </c>
    </row>
    <row r="1792" ht="15.75" customHeight="1">
      <c r="A1792" s="1" t="s">
        <v>2149</v>
      </c>
      <c r="B1792" s="2" t="s">
        <v>2150</v>
      </c>
      <c r="C1792" s="2"/>
    </row>
    <row r="1793" ht="15.75" customHeight="1">
      <c r="B1793" s="2" t="s">
        <v>2151</v>
      </c>
      <c r="C1793" s="2" t="s">
        <v>2152</v>
      </c>
    </row>
    <row r="1794" ht="15.75" customHeight="1">
      <c r="A1794" s="2" t="s">
        <v>4</v>
      </c>
      <c r="B1794" s="2" t="str">
        <f>IFERROR(__xludf.DUMMYFUNCTION("CONCAT(""&lt;"",GOOGLETRANSLATE(B1793,""en"",""ar""))"),"&lt;أنا")</f>
        <v>&lt;أنا</v>
      </c>
      <c r="C1794" s="2" t="str">
        <f>IFERROR(__xludf.DUMMYFUNCTION("CONCAT(""&lt;"",GOOGLETRANSLATE(C1793,""en"",""ar""))"),"&lt;أنا شخصيا")</f>
        <v>&lt;أنا شخصيا</v>
      </c>
    </row>
    <row r="1795" ht="15.75" customHeight="1">
      <c r="A1795" s="1" t="s">
        <v>2153</v>
      </c>
      <c r="B1795" s="2" t="s">
        <v>2150</v>
      </c>
      <c r="C1795" s="2"/>
    </row>
    <row r="1796" ht="15.75" customHeight="1">
      <c r="B1796" s="2" t="s">
        <v>2151</v>
      </c>
      <c r="C1796" s="2" t="s">
        <v>2152</v>
      </c>
    </row>
    <row r="1797" ht="15.75" customHeight="1">
      <c r="A1797" s="2" t="s">
        <v>4</v>
      </c>
      <c r="B1797" s="2" t="str">
        <f>IFERROR(__xludf.DUMMYFUNCTION("CONCAT(""&lt;"",GOOGLETRANSLATE(B1796,""en"",""ar""))"),"&lt;أنا")</f>
        <v>&lt;أنا</v>
      </c>
      <c r="C1797" s="2" t="str">
        <f>IFERROR(__xludf.DUMMYFUNCTION("CONCAT(""&lt;"",GOOGLETRANSLATE(C1796,""en"",""ar""))"),"&lt;أنا شخصيا")</f>
        <v>&lt;أنا شخصيا</v>
      </c>
    </row>
    <row r="1798" ht="15.75" customHeight="1">
      <c r="A1798" s="1" t="s">
        <v>2154</v>
      </c>
      <c r="B1798" s="2" t="s">
        <v>2155</v>
      </c>
      <c r="C1798" s="2"/>
    </row>
    <row r="1799" ht="15.75" customHeight="1">
      <c r="B1799" s="2" t="s">
        <v>2156</v>
      </c>
      <c r="C1799" s="2" t="s">
        <v>2157</v>
      </c>
    </row>
    <row r="1800" ht="15.75" customHeight="1">
      <c r="A1800" s="2" t="s">
        <v>4</v>
      </c>
      <c r="B1800" s="2" t="str">
        <f>IFERROR(__xludf.DUMMYFUNCTION("CONCAT(""&lt;"",GOOGLETRANSLATE(B1799,""en"",""ar""))"),"&lt;لو سمحت!")</f>
        <v>&lt;لو سمحت!</v>
      </c>
      <c r="C1800" s="2" t="str">
        <f>IFERROR(__xludf.DUMMYFUNCTION("CONCAT(""&lt;"",GOOGLETRANSLATE(C1799,""en"",""ar""))"),"&lt;التدخل أصلي!")</f>
        <v>&lt;التدخل أصلي!</v>
      </c>
    </row>
    <row r="1801" ht="15.75" customHeight="1">
      <c r="A1801" s="1" t="s">
        <v>2158</v>
      </c>
      <c r="B1801" s="2" t="s">
        <v>2159</v>
      </c>
      <c r="C1801" s="2"/>
    </row>
    <row r="1802" ht="15.75" customHeight="1">
      <c r="B1802" s="2" t="s">
        <v>2160</v>
      </c>
      <c r="C1802" s="2" t="s">
        <v>212</v>
      </c>
    </row>
    <row r="1803" ht="15.75" customHeight="1">
      <c r="A1803" s="2" t="s">
        <v>4</v>
      </c>
      <c r="B1803" s="2" t="str">
        <f>IFERROR(__xludf.DUMMYFUNCTION("CONCAT(""&lt;"",GOOGLETRANSLATE(B1802,""en"",""ar""))"),"&lt;لرثاء")</f>
        <v>&lt;لرثاء</v>
      </c>
      <c r="C1803" s="2" t="str">
        <f>IFERROR(__xludf.DUMMYFUNCTION("CONCAT(""&lt;"",GOOGLETRANSLATE(C1802,""en"",""ar""))"),"&lt;الحداد")</f>
        <v>&lt;الحداد</v>
      </c>
    </row>
    <row r="1804" ht="15.75" customHeight="1">
      <c r="A1804" s="1" t="s">
        <v>2161</v>
      </c>
      <c r="B1804" s="2" t="s">
        <v>2162</v>
      </c>
      <c r="C1804" s="2"/>
    </row>
    <row r="1805" ht="15.75" customHeight="1">
      <c r="B1805" s="2" t="s">
        <v>2163</v>
      </c>
      <c r="C1805" s="2" t="s">
        <v>2164</v>
      </c>
    </row>
    <row r="1806" ht="15.75" customHeight="1">
      <c r="A1806" s="2" t="s">
        <v>4</v>
      </c>
      <c r="B1806" s="2" t="str">
        <f>IFERROR(__xludf.DUMMYFUNCTION("CONCAT(""&lt;"",GOOGLETRANSLATE(B1805,""en"",""ar""))"),"&lt;لكي نلتقي")</f>
        <v>&lt;لكي نلتقي</v>
      </c>
      <c r="C1806" s="2" t="str">
        <f>IFERROR(__xludf.DUMMYFUNCTION("CONCAT(""&lt;"",GOOGLETRANSLATE(C1805,""en"",""ar""))"),"&lt;(أ) QAL للحداد ؛ (ب) بي. لتسبب في المجيء ؛ (وحدة المعالجة المركزية. ليصبح (د) HITP. للبحث عن مشاجرة")</f>
        <v>&lt;(أ) QAL للحداد ؛ (ب) بي. لتسبب في المجيء ؛ (وحدة المعالجة المركزية. ليصبح (د) HITP. للبحث عن مشاجرة</v>
      </c>
    </row>
    <row r="1807" ht="15.75" customHeight="1">
      <c r="A1807" s="1" t="s">
        <v>2165</v>
      </c>
      <c r="B1807" s="2" t="s">
        <v>2166</v>
      </c>
      <c r="C1807" s="2"/>
    </row>
    <row r="1808" ht="15.75" customHeight="1">
      <c r="B1808" s="2" t="s">
        <v>2167</v>
      </c>
      <c r="C1808" s="2" t="s">
        <v>2168</v>
      </c>
    </row>
    <row r="1809" ht="15.75" customHeight="1">
      <c r="A1809" s="2" t="s">
        <v>4</v>
      </c>
      <c r="B1809" s="2" t="str">
        <f>IFERROR(__xludf.DUMMYFUNCTION("CONCAT(""&lt;"",GOOGLETRANSLATE(B1808,""en"",""ar""))"),"&lt;نحن")</f>
        <v>&lt;نحن</v>
      </c>
      <c r="C1809" s="2" t="str">
        <f>IFERROR(__xludf.DUMMYFUNCTION("CONCAT(""&lt;"",GOOGLETRANSLATE(C1808,""en"",""ar""))"),"&lt;الضمير الشخصي الضمير 1 الجمع: نحن")</f>
        <v>&lt;الضمير الشخصي الضمير 1 الجمع: نحن</v>
      </c>
    </row>
    <row r="1810" ht="15.75" customHeight="1">
      <c r="A1810" s="1" t="s">
        <v>2169</v>
      </c>
      <c r="B1810" s="2" t="s">
        <v>2170</v>
      </c>
      <c r="C1810" s="2"/>
    </row>
    <row r="1811" ht="15.75" customHeight="1">
      <c r="B1811" s="2" t="s">
        <v>2171</v>
      </c>
      <c r="C1811" s="2" t="s">
        <v>2172</v>
      </c>
    </row>
    <row r="1812" ht="15.75" customHeight="1">
      <c r="A1812" s="2" t="s">
        <v>4</v>
      </c>
      <c r="B1812" s="2" t="str">
        <f>IFERROR(__xludf.DUMMYFUNCTION("CONCAT(""&lt;"",GOOGLETRANSLATE(B1811,""en"",""ar""))"),"&lt;هم")</f>
        <v>&lt;هم</v>
      </c>
      <c r="C1812" s="2" t="str">
        <f>IFERROR(__xludf.DUMMYFUNCTION("CONCAT(""&lt;"",GOOGLETRANSLATE(C1811,""en"",""ar""))"),"&lt;هم ، هؤلاء")</f>
        <v>&lt;هم ، هؤلاء</v>
      </c>
    </row>
    <row r="1813" ht="15.75" customHeight="1">
      <c r="A1813" s="1" t="s">
        <v>2173</v>
      </c>
      <c r="B1813" s="2" t="s">
        <v>2174</v>
      </c>
      <c r="C1813" s="2"/>
    </row>
    <row r="1814" ht="15.75" customHeight="1">
      <c r="B1814" s="2" t="s">
        <v>2175</v>
      </c>
    </row>
    <row r="1815" ht="15.75" customHeight="1">
      <c r="A1815" s="2" t="s">
        <v>4</v>
      </c>
      <c r="B1815" s="2" t="str">
        <f>IFERROR(__xludf.DUMMYFUNCTION("CONCAT(""&lt;"",GOOGLETRANSLATE(B1814,""en"",""ar""))"),"&lt;هم (Fem.)")</f>
        <v>&lt;هم (Fem.)</v>
      </c>
      <c r="C1815" s="2"/>
    </row>
    <row r="1816" ht="15.75" customHeight="1">
      <c r="A1816" s="1" t="s">
        <v>2176</v>
      </c>
      <c r="B1816" s="2" t="s">
        <v>2177</v>
      </c>
      <c r="C1816" s="2"/>
    </row>
    <row r="1817" ht="15.75" customHeight="1">
      <c r="B1817" s="2" t="s">
        <v>2178</v>
      </c>
      <c r="C1817" s="2" t="s">
        <v>2179</v>
      </c>
    </row>
    <row r="1818" ht="15.75" customHeight="1">
      <c r="A1818" s="2" t="s">
        <v>4</v>
      </c>
      <c r="B1818" s="2" t="str">
        <f>IFERROR(__xludf.DUMMYFUNCTION("CONCAT(""&lt;"",GOOGLETRANSLATE(B1817,""en"",""ar""))"),"&lt;بشر")</f>
        <v>&lt;بشر</v>
      </c>
      <c r="C1818" s="2" t="str">
        <f>IFERROR(__xludf.DUMMYFUNCTION("CONCAT(""&lt;"",GOOGLETRANSLATE(C1817,""en"",""ar""))"),"&lt;(1) رجل (نوع) ؛ (2) Enosh ؛ ابن سيث")</f>
        <v>&lt;(1) رجل (نوع) ؛ (2) Enosh ؛ ابن سيث</v>
      </c>
    </row>
    <row r="1819" ht="15.75" customHeight="1">
      <c r="A1819" s="1" t="s">
        <v>2180</v>
      </c>
      <c r="B1819" s="2" t="s">
        <v>2181</v>
      </c>
      <c r="C1819" s="2"/>
    </row>
    <row r="1820" ht="15.75" customHeight="1">
      <c r="B1820" s="2" t="s">
        <v>2182</v>
      </c>
      <c r="C1820" s="2" t="s">
        <v>2179</v>
      </c>
    </row>
    <row r="1821" ht="15.75" customHeight="1">
      <c r="A1821" s="2" t="s">
        <v>4</v>
      </c>
      <c r="B1821" s="2" t="str">
        <f>IFERROR(__xludf.DUMMYFUNCTION("CONCAT(""&lt;"",GOOGLETRANSLATE(B1820,""en"",""ar""))"),"&lt;enosh")</f>
        <v>&lt;enosh</v>
      </c>
      <c r="C1821" s="2" t="str">
        <f>IFERROR(__xludf.DUMMYFUNCTION("CONCAT(""&lt;"",GOOGLETRANSLATE(C1820,""en"",""ar""))"),"&lt;(1) رجل (نوع) ؛ (2) Enosh ؛ ابن سيث")</f>
        <v>&lt;(1) رجل (نوع) ؛ (2) Enosh ؛ ابن سيث</v>
      </c>
    </row>
    <row r="1822" ht="15.75" customHeight="1">
      <c r="A1822" s="1" t="s">
        <v>2183</v>
      </c>
      <c r="B1822" s="2" t="s">
        <v>2184</v>
      </c>
      <c r="C1822" s="2"/>
    </row>
    <row r="1823" ht="15.75" customHeight="1">
      <c r="B1823" s="2" t="s">
        <v>2185</v>
      </c>
      <c r="C1823" s="2" t="s">
        <v>2186</v>
      </c>
    </row>
    <row r="1824" ht="15.75" customHeight="1">
      <c r="A1824" s="2" t="s">
        <v>4</v>
      </c>
      <c r="B1824" s="2" t="str">
        <f>IFERROR(__xludf.DUMMYFUNCTION("CONCAT(""&lt;"",GOOGLETRANSLATE(B1823,""en"",""ar""))"),"&lt;لتنهد")</f>
        <v>&lt;لتنهد</v>
      </c>
      <c r="C1824" s="2" t="str">
        <f>IFERROR(__xludf.DUMMYFUNCTION("CONCAT(""&lt;"",GOOGLETRANSLATE(C1823,""en"",""ar""))"),"&lt;نيف. لتنهد")</f>
        <v>&lt;نيف. لتنهد</v>
      </c>
    </row>
    <row r="1825" ht="15.75" customHeight="1">
      <c r="A1825" s="1" t="s">
        <v>2187</v>
      </c>
      <c r="B1825" s="2" t="s">
        <v>2188</v>
      </c>
      <c r="C1825" s="2"/>
    </row>
    <row r="1826" ht="15.75" customHeight="1">
      <c r="B1826" s="2" t="s">
        <v>2189</v>
      </c>
      <c r="C1826" s="2" t="s">
        <v>2189</v>
      </c>
    </row>
    <row r="1827" ht="15.75" customHeight="1">
      <c r="A1827" s="2" t="s">
        <v>4</v>
      </c>
      <c r="B1827" s="2" t="str">
        <f>IFERROR(__xludf.DUMMYFUNCTION("CONCAT(""&lt;"",GOOGLETRANSLATE(B1826,""en"",""ar""))"),"&lt;تنهد")</f>
        <v>&lt;تنهد</v>
      </c>
      <c r="C1827" s="2" t="str">
        <f>IFERROR(__xludf.DUMMYFUNCTION("CONCAT(""&lt;"",GOOGLETRANSLATE(C1826,""en"",""ar""))"),"&lt;تنهد")</f>
        <v>&lt;تنهد</v>
      </c>
    </row>
    <row r="1828" ht="15.75" customHeight="1">
      <c r="A1828" s="1" t="s">
        <v>2190</v>
      </c>
      <c r="B1828" s="2" t="s">
        <v>2191</v>
      </c>
      <c r="C1828" s="2"/>
    </row>
    <row r="1829" ht="15.75" customHeight="1">
      <c r="B1829" s="2" t="s">
        <v>2167</v>
      </c>
      <c r="C1829" s="2" t="s">
        <v>2168</v>
      </c>
    </row>
    <row r="1830" ht="15.75" customHeight="1">
      <c r="A1830" s="2" t="s">
        <v>4</v>
      </c>
      <c r="B1830" s="2" t="str">
        <f>IFERROR(__xludf.DUMMYFUNCTION("CONCAT(""&lt;"",GOOGLETRANSLATE(B1829,""en"",""ar""))"),"&lt;نحن")</f>
        <v>&lt;نحن</v>
      </c>
      <c r="C1830" s="2" t="str">
        <f>IFERROR(__xludf.DUMMYFUNCTION("CONCAT(""&lt;"",GOOGLETRANSLATE(C1829,""en"",""ar""))"),"&lt;الضمير الشخصي الضمير 1 الجمع: نحن")</f>
        <v>&lt;الضمير الشخصي الضمير 1 الجمع: نحن</v>
      </c>
    </row>
    <row r="1831" ht="15.75" customHeight="1">
      <c r="A1831" s="1" t="s">
        <v>2192</v>
      </c>
      <c r="B1831" s="2" t="s">
        <v>2166</v>
      </c>
      <c r="C1831" s="2"/>
    </row>
    <row r="1832" ht="15.75" customHeight="1">
      <c r="B1832" s="2" t="s">
        <v>2167</v>
      </c>
    </row>
    <row r="1833" ht="15.75" customHeight="1">
      <c r="A1833" s="2" t="s">
        <v>4</v>
      </c>
      <c r="B1833" s="2" t="str">
        <f>IFERROR(__xludf.DUMMYFUNCTION("CONCAT(""&lt;"",GOOGLETRANSLATE(B1832,""en"",""ar""))"),"&lt;نحن")</f>
        <v>&lt;نحن</v>
      </c>
      <c r="C1833" s="2"/>
    </row>
    <row r="1834" ht="15.75" customHeight="1">
      <c r="A1834" s="1" t="s">
        <v>2193</v>
      </c>
      <c r="B1834" s="2" t="s">
        <v>2194</v>
      </c>
      <c r="C1834" s="2"/>
    </row>
    <row r="1835" ht="15.75" customHeight="1">
      <c r="B1835" s="2" t="s">
        <v>2195</v>
      </c>
      <c r="C1835" s="2" t="s">
        <v>2196</v>
      </c>
    </row>
    <row r="1836" ht="15.75" customHeight="1">
      <c r="A1836" s="2" t="s">
        <v>4</v>
      </c>
      <c r="B1836" s="2" t="str">
        <f>IFERROR(__xludf.DUMMYFUNCTION("CONCAT(""&lt;"",GOOGLETRANSLATE(B1835,""en"",""ar""))"),"&lt;Anaharath")</f>
        <v>&lt;Anaharath</v>
      </c>
      <c r="C1836" s="2" t="str">
        <f>IFERROR(__xludf.DUMMYFUNCTION("CONCAT(""&lt;"",GOOGLETRANSLATE(C1835,""en"",""ar""))"),"&lt;أناهاراث بلدة؛ أراضي إيساشار")</f>
        <v>&lt;أناهاراث بلدة؛ أراضي إيساشار</v>
      </c>
    </row>
    <row r="1837" ht="15.75" customHeight="1">
      <c r="A1837" s="1" t="s">
        <v>2197</v>
      </c>
      <c r="B1837" s="2" t="s">
        <v>2150</v>
      </c>
      <c r="C1837" s="2"/>
    </row>
    <row r="1838" ht="15.75" customHeight="1">
      <c r="B1838" s="2" t="s">
        <v>2198</v>
      </c>
      <c r="C1838" s="2" t="s">
        <v>2199</v>
      </c>
    </row>
    <row r="1839" ht="15.75" customHeight="1">
      <c r="A1839" s="2" t="s">
        <v>4</v>
      </c>
      <c r="B1839" s="2" t="str">
        <f>IFERROR(__xludf.DUMMYFUNCTION("CONCAT(""&lt;"",GOOGLETRANSLATE(B1838,""en"",""ar""))"),"&lt;أنا")</f>
        <v>&lt;أنا</v>
      </c>
      <c r="C1839" s="2" t="str">
        <f>IFERROR(__xludf.DUMMYFUNCTION("CONCAT(""&lt;"",GOOGLETRANSLATE(C1838,""en"",""ar""))"),"&lt;الضمير الشخصي 1 المفرد: أنا")</f>
        <v>&lt;الضمير الشخصي 1 المفرد: أنا</v>
      </c>
    </row>
    <row r="1840" ht="15.75" customHeight="1">
      <c r="A1840" s="1" t="s">
        <v>2200</v>
      </c>
      <c r="B1840" s="2" t="s">
        <v>2201</v>
      </c>
      <c r="C1840" s="2"/>
    </row>
    <row r="1841" ht="15.75" customHeight="1">
      <c r="B1841" s="2" t="s">
        <v>2202</v>
      </c>
      <c r="C1841" s="2" t="s">
        <v>2202</v>
      </c>
    </row>
    <row r="1842" ht="15.75" customHeight="1">
      <c r="A1842" s="2" t="s">
        <v>4</v>
      </c>
      <c r="B1842" s="2" t="str">
        <f>IFERROR(__xludf.DUMMYFUNCTION("CONCAT(""&lt;"",GOOGLETRANSLATE(B1841,""en"",""ar""))"),"&lt;سريع")</f>
        <v>&lt;سريع</v>
      </c>
      <c r="C1842" s="2" t="str">
        <f>IFERROR(__xludf.DUMMYFUNCTION("CONCAT(""&lt;"",GOOGLETRANSLATE(C1841,""en"",""ar""))"),"&lt;سريع")</f>
        <v>&lt;سريع</v>
      </c>
    </row>
    <row r="1843" ht="15.75" customHeight="1">
      <c r="A1843" s="1" t="s">
        <v>2203</v>
      </c>
      <c r="B1843" s="2" t="s">
        <v>2204</v>
      </c>
      <c r="C1843" s="2"/>
    </row>
    <row r="1844" ht="15.75" customHeight="1">
      <c r="B1844" s="2" t="s">
        <v>2202</v>
      </c>
      <c r="C1844" s="2" t="s">
        <v>2205</v>
      </c>
    </row>
    <row r="1845" ht="15.75" customHeight="1">
      <c r="A1845" s="2" t="s">
        <v>4</v>
      </c>
      <c r="B1845" s="2" t="str">
        <f>IFERROR(__xludf.DUMMYFUNCTION("CONCAT(""&lt;"",GOOGLETRANSLATE(B1844,""en"",""ar""))"),"&lt;سريع")</f>
        <v>&lt;سريع</v>
      </c>
      <c r="C1845" s="2" t="str">
        <f>IFERROR(__xludf.DUMMYFUNCTION("CONCAT(""&lt;"",GOOGLETRANSLATE(C1844,""en"",""ar""))"),"&lt;سفينة")</f>
        <v>&lt;سفينة</v>
      </c>
    </row>
    <row r="1846" ht="15.75" customHeight="1">
      <c r="A1846" s="1" t="s">
        <v>2206</v>
      </c>
      <c r="B1846" s="2" t="s">
        <v>2207</v>
      </c>
      <c r="C1846" s="2"/>
    </row>
    <row r="1847" ht="15.75" customHeight="1">
      <c r="B1847" s="2" t="s">
        <v>2208</v>
      </c>
      <c r="C1847" s="2" t="s">
        <v>2209</v>
      </c>
    </row>
    <row r="1848" ht="15.75" customHeight="1">
      <c r="A1848" s="2" t="s">
        <v>4</v>
      </c>
      <c r="B1848" s="2" t="str">
        <f>IFERROR(__xludf.DUMMYFUNCTION("CONCAT(""&lt;"",GOOGLETRANSLATE(B1847,""en"",""ar""))"),"&lt;الرثاء")</f>
        <v>&lt;الرثاء</v>
      </c>
      <c r="C1848" s="2" t="str">
        <f>IFERROR(__xludf.DUMMYFUNCTION("CONCAT(""&lt;"",GOOGLETRANSLATE(C1847,""en"",""ar""))"),"&lt;الحداد ، الحزن")</f>
        <v>&lt;الحداد ، الحزن</v>
      </c>
    </row>
    <row r="1849" ht="15.75" customHeight="1">
      <c r="A1849" s="1" t="s">
        <v>2210</v>
      </c>
      <c r="B1849" s="2" t="s">
        <v>2211</v>
      </c>
      <c r="C1849" s="2"/>
    </row>
    <row r="1850" ht="15.75" customHeight="1">
      <c r="B1850" s="2" t="s">
        <v>2212</v>
      </c>
      <c r="C1850" s="2" t="s">
        <v>2213</v>
      </c>
    </row>
    <row r="1851" ht="15.75" customHeight="1">
      <c r="A1851" s="2" t="s">
        <v>4</v>
      </c>
      <c r="B1851" s="2" t="str">
        <f>IFERROR(__xludf.DUMMYFUNCTION("CONCAT(""&lt;"",GOOGLETRANSLATE(B1850,""en"",""ar""))"),"&lt;أنام")</f>
        <v>&lt;أنام</v>
      </c>
      <c r="C1851" s="2" t="str">
        <f>IFERROR(__xludf.DUMMYFUNCTION("CONCAT(""&lt;"",GOOGLETRANSLATE(C1850,""en"",""ar""))"),"&lt;أنام ابن شيميدا قبيلة ماناس")</f>
        <v>&lt;أنام ابن شيميدا قبيلة ماناس</v>
      </c>
    </row>
    <row r="1852" ht="15.75" customHeight="1">
      <c r="A1852" s="1" t="s">
        <v>2214</v>
      </c>
      <c r="B1852" s="2" t="s">
        <v>2215</v>
      </c>
      <c r="C1852" s="2"/>
    </row>
    <row r="1853" ht="15.75" customHeight="1">
      <c r="B1853" s="2" t="s">
        <v>2216</v>
      </c>
      <c r="C1853" s="2" t="s">
        <v>2217</v>
      </c>
    </row>
    <row r="1854" ht="15.75" customHeight="1">
      <c r="A1854" s="2" t="s">
        <v>4</v>
      </c>
      <c r="B1854" s="2" t="str">
        <f>IFERROR(__xludf.DUMMYFUNCTION("CONCAT(""&lt;"",GOOGLETRANSLATE(B1853,""en"",""ar""))"),"&lt;بلومبلين")</f>
        <v>&lt;بلومبلين</v>
      </c>
      <c r="C1854" s="2" t="str">
        <f>IFERROR(__xludf.DUMMYFUNCTION("CONCAT(""&lt;"",GOOGLETRANSLATE(C1853,""en"",""ar""))"),"&lt;هبوط بسرعة")</f>
        <v>&lt;هبوط بسرعة</v>
      </c>
    </row>
    <row r="1855" ht="15.75" customHeight="1">
      <c r="A1855" s="1" t="s">
        <v>2218</v>
      </c>
      <c r="B1855" s="2" t="s">
        <v>2219</v>
      </c>
      <c r="C1855" s="2"/>
    </row>
    <row r="1856" ht="15.75" customHeight="1">
      <c r="B1856" s="2" t="s">
        <v>2198</v>
      </c>
      <c r="C1856" s="2" t="s">
        <v>2199</v>
      </c>
    </row>
    <row r="1857" ht="15.75" customHeight="1">
      <c r="A1857" s="2" t="s">
        <v>4</v>
      </c>
      <c r="B1857" s="2" t="str">
        <f>IFERROR(__xludf.DUMMYFUNCTION("CONCAT(""&lt;"",GOOGLETRANSLATE(B1856,""en"",""ar""))"),"&lt;أنا")</f>
        <v>&lt;أنا</v>
      </c>
      <c r="C1857" s="2" t="str">
        <f>IFERROR(__xludf.DUMMYFUNCTION("CONCAT(""&lt;"",GOOGLETRANSLATE(C1856,""en"",""ar""))"),"&lt;الضمير الشخصي 1 المفرد: أنا")</f>
        <v>&lt;الضمير الشخصي 1 المفرد: أنا</v>
      </c>
    </row>
    <row r="1858" ht="15.75" customHeight="1">
      <c r="A1858" s="1" t="s">
        <v>2220</v>
      </c>
      <c r="B1858" s="2" t="s">
        <v>2221</v>
      </c>
      <c r="C1858" s="2"/>
    </row>
    <row r="1859" ht="15.75" customHeight="1">
      <c r="B1859" s="2" t="s">
        <v>2222</v>
      </c>
      <c r="C1859" s="2" t="s">
        <v>2223</v>
      </c>
    </row>
    <row r="1860" ht="15.75" customHeight="1">
      <c r="A1860" s="2" t="s">
        <v>4</v>
      </c>
      <c r="B1860" s="2" t="str">
        <f>IFERROR(__xludf.DUMMYFUNCTION("CONCAT(""&lt;"",GOOGLETRANSLATE(B1859,""en"",""ar""))"),"&lt;يشتكي")</f>
        <v>&lt;يشتكي</v>
      </c>
      <c r="C1860" s="2" t="str">
        <f>IFERROR(__xludf.DUMMYFUNCTION("CONCAT(""&lt;"",GOOGLETRANSLATE(C1859,""en"",""ar""))"),"&lt;HITP. يشتكي")</f>
        <v>&lt;HITP. يشتكي</v>
      </c>
    </row>
    <row r="1861" ht="15.75" customHeight="1">
      <c r="A1861" s="1" t="s">
        <v>2224</v>
      </c>
      <c r="B1861" s="2" t="s">
        <v>2225</v>
      </c>
      <c r="C1861" s="2"/>
    </row>
    <row r="1862" ht="15.75" customHeight="1">
      <c r="B1862" s="2" t="s">
        <v>2226</v>
      </c>
      <c r="C1862" s="2" t="s">
        <v>2227</v>
      </c>
    </row>
    <row r="1863" ht="15.75" customHeight="1">
      <c r="A1863" s="2" t="s">
        <v>4</v>
      </c>
      <c r="B1863" s="2" t="str">
        <f>IFERROR(__xludf.DUMMYFUNCTION("CONCAT(""&lt;"",GOOGLETRANSLATE(B1862,""en"",""ar""))"),"&lt;لإرغام")</f>
        <v>&lt;لإرغام</v>
      </c>
      <c r="C1863" s="2" t="str">
        <f>IFERROR(__xludf.DUMMYFUNCTION("CONCAT(""&lt;"",GOOGLETRANSLATE(C1862,""en"",""ar""))"),"&lt;QAL لإجبار")</f>
        <v>&lt;QAL لإجبار</v>
      </c>
    </row>
    <row r="1864" ht="15.75" customHeight="1">
      <c r="A1864" s="1" t="s">
        <v>2228</v>
      </c>
      <c r="B1864" s="2" t="s">
        <v>2229</v>
      </c>
      <c r="C1864" s="2"/>
    </row>
    <row r="1865" ht="15.75" customHeight="1">
      <c r="B1865" s="2" t="s">
        <v>2230</v>
      </c>
      <c r="C1865" s="2" t="s">
        <v>2227</v>
      </c>
    </row>
    <row r="1866" ht="15.75" customHeight="1">
      <c r="A1866" s="2" t="s">
        <v>4</v>
      </c>
      <c r="B1866" s="2" t="str">
        <f>IFERROR(__xludf.DUMMYFUNCTION("CONCAT(""&lt;"",GOOGLETRANSLATE(B1865,""en"",""ar""))"),"&lt;لتقييد")</f>
        <v>&lt;لتقييد</v>
      </c>
      <c r="C1866" s="2" t="str">
        <f>IFERROR(__xludf.DUMMYFUNCTION("CONCAT(""&lt;"",GOOGLETRANSLATE(C1865,""en"",""ar""))"),"&lt;QAL لإجبار")</f>
        <v>&lt;QAL لإجبار</v>
      </c>
    </row>
    <row r="1867" ht="15.75" customHeight="1">
      <c r="A1867" s="1" t="s">
        <v>2231</v>
      </c>
      <c r="B1867" s="2" t="s">
        <v>2232</v>
      </c>
      <c r="C1867" s="2"/>
    </row>
    <row r="1868" ht="15.75" customHeight="1">
      <c r="B1868" s="2" t="s">
        <v>2233</v>
      </c>
      <c r="C1868" s="2" t="s">
        <v>2234</v>
      </c>
    </row>
    <row r="1869" ht="15.75" customHeight="1">
      <c r="A1869" s="2" t="s">
        <v>4</v>
      </c>
      <c r="B1869" s="2" t="str">
        <f>IFERROR(__xludf.DUMMYFUNCTION("CONCAT(""&lt;"",GOOGLETRANSLATE(B1868,""en"",""ar""))"),"&lt;كن غاضبا")</f>
        <v>&lt;كن غاضبا</v>
      </c>
      <c r="C1869" s="2" t="str">
        <f>IFERROR(__xludf.DUMMYFUNCTION("CONCAT(""&lt;"",GOOGLETRANSLATE(C1868,""en"",""ar""))"),"&lt;(أ) QAL لتكون غاضبًا ؛ (ب) HITP. لتكون غاضب")</f>
        <v>&lt;(أ) QAL لتكون غاضبًا ؛ (ب) HITP. لتكون غاضب</v>
      </c>
    </row>
    <row r="1870" ht="15.75" customHeight="1">
      <c r="A1870" s="1" t="s">
        <v>2235</v>
      </c>
      <c r="B1870" s="2" t="s">
        <v>2236</v>
      </c>
      <c r="C1870" s="2"/>
    </row>
    <row r="1871" ht="15.75" customHeight="1">
      <c r="B1871" s="2" t="s">
        <v>2237</v>
      </c>
    </row>
    <row r="1872" ht="15.75" customHeight="1">
      <c r="A1872" s="2" t="s">
        <v>4</v>
      </c>
      <c r="B1872" s="2" t="str">
        <f>IFERROR(__xludf.DUMMYFUNCTION("CONCAT(""&lt;"",GOOGLETRANSLATE(B1871,""en"",""ar""))"),"&lt;وجه")</f>
        <v>&lt;وجه</v>
      </c>
      <c r="C1872" s="2"/>
    </row>
    <row r="1873" ht="15.75" customHeight="1">
      <c r="A1873" s="1" t="s">
        <v>2238</v>
      </c>
      <c r="B1873" s="2" t="s">
        <v>2239</v>
      </c>
      <c r="C1873" s="2"/>
    </row>
    <row r="1874" ht="15.75" customHeight="1">
      <c r="B1874" s="2" t="s">
        <v>2240</v>
      </c>
      <c r="C1874" s="2" t="s">
        <v>2241</v>
      </c>
    </row>
    <row r="1875" ht="15.75" customHeight="1">
      <c r="A1875" s="2" t="s">
        <v>4</v>
      </c>
      <c r="B1875" s="2" t="str">
        <f>IFERROR(__xludf.DUMMYFUNCTION("CONCAT(""&lt;"",GOOGLETRANSLATE(B1874,""en"",""ar""))"),"&lt;هيرون")</f>
        <v>&lt;هيرون</v>
      </c>
      <c r="C1875" s="2" t="str">
        <f>IFERROR(__xludf.DUMMYFUNCTION("CONCAT(""&lt;"",GOOGLETRANSLATE(C1874,""en"",""ar""))"),"&lt;هيرون ، cormorant")</f>
        <v>&lt;هيرون ، cormorant</v>
      </c>
    </row>
    <row r="1876" ht="15.75" customHeight="1">
      <c r="A1876" s="1" t="s">
        <v>2242</v>
      </c>
      <c r="B1876" s="2" t="s">
        <v>2243</v>
      </c>
      <c r="C1876" s="2"/>
    </row>
    <row r="1877" ht="15.75" customHeight="1">
      <c r="B1877" s="2" t="s">
        <v>2244</v>
      </c>
      <c r="C1877" s="2" t="s">
        <v>2245</v>
      </c>
    </row>
    <row r="1878" ht="15.75" customHeight="1">
      <c r="A1878" s="2" t="s">
        <v>4</v>
      </c>
      <c r="B1878" s="2" t="str">
        <f>IFERROR(__xludf.DUMMYFUNCTION("CONCAT(""&lt;"",GOOGLETRANSLATE(B1877,""en"",""ar""))"),"&lt;لتأوه")</f>
        <v>&lt;لتأوه</v>
      </c>
      <c r="C1878" s="2" t="str">
        <f>IFERROR(__xludf.DUMMYFUNCTION("CONCAT(""&lt;"",GOOGLETRANSLATE(C1877,""en"",""ar""))"),"&lt;(أ) QAL لتأوه ؛ (ب) نيف. لتأوه")</f>
        <v>&lt;(أ) QAL لتأوه ؛ (ب) نيف. لتأوه</v>
      </c>
    </row>
    <row r="1879" ht="15.75" customHeight="1">
      <c r="A1879" s="1" t="s">
        <v>2246</v>
      </c>
      <c r="B1879" s="2" t="s">
        <v>2247</v>
      </c>
      <c r="C1879" s="2"/>
    </row>
    <row r="1880" ht="15.75" customHeight="1">
      <c r="B1880" s="2" t="s">
        <v>2248</v>
      </c>
      <c r="C1880" s="2" t="s">
        <v>2249</v>
      </c>
    </row>
    <row r="1881" ht="15.75" customHeight="1">
      <c r="A1881" s="2" t="s">
        <v>4</v>
      </c>
      <c r="B1881" s="2" t="str">
        <f>IFERROR(__xludf.DUMMYFUNCTION("CONCAT(""&lt;"",GOOGLETRANSLATE(B1880,""en"",""ar""))"),"&lt;يئن")</f>
        <v>&lt;يئن</v>
      </c>
      <c r="C1881" s="2" t="str">
        <f>IFERROR(__xludf.DUMMYFUNCTION("CONCAT(""&lt;"",GOOGLETRANSLATE(C1880,""en"",""ar""))"),"&lt;(ب) يئن")</f>
        <v>&lt;(ب) يئن</v>
      </c>
    </row>
    <row r="1882" ht="15.75" customHeight="1">
      <c r="A1882" s="1" t="s">
        <v>2250</v>
      </c>
      <c r="B1882" s="2" t="s">
        <v>2251</v>
      </c>
      <c r="C1882" s="2"/>
    </row>
    <row r="1883" ht="15.75" customHeight="1">
      <c r="B1883" s="2" t="s">
        <v>2252</v>
      </c>
      <c r="C1883" s="2" t="s">
        <v>2253</v>
      </c>
    </row>
    <row r="1884" ht="15.75" customHeight="1">
      <c r="A1884" s="2" t="s">
        <v>4</v>
      </c>
      <c r="B1884" s="2" t="str">
        <f>IFERROR(__xludf.DUMMYFUNCTION("CONCAT(""&lt;"",GOOGLETRANSLATE(B1883,""en"",""ar""))"),"&lt;وزغة")</f>
        <v>&lt;وزغة</v>
      </c>
      <c r="C1884" s="2" t="str">
        <f>IFERROR(__xludf.DUMMYFUNCTION("CONCAT(""&lt;"",GOOGLETRANSLATE(C1883,""en"",""ar""))"),"&lt;(أ) جيكو")</f>
        <v>&lt;(أ) جيكو</v>
      </c>
    </row>
    <row r="1885" ht="15.75" customHeight="1">
      <c r="A1885" s="1" t="s">
        <v>2254</v>
      </c>
      <c r="B1885" s="2" t="s">
        <v>2255</v>
      </c>
      <c r="C1885" s="2"/>
    </row>
    <row r="1886" ht="15.75" customHeight="1">
      <c r="B1886" s="2" t="s">
        <v>2256</v>
      </c>
    </row>
    <row r="1887" ht="15.75" customHeight="1">
      <c r="A1887" s="2" t="s">
        <v>4</v>
      </c>
      <c r="B1887" s="2" t="str">
        <f>IFERROR(__xludf.DUMMYFUNCTION("CONCAT(""&lt;"",GOOGLETRANSLATE(B1886,""en"",""ar""))"),"&lt;تكون غير قابلة للشفاء")</f>
        <v>&lt;تكون غير قابلة للشفاء</v>
      </c>
      <c r="C1887" s="2"/>
    </row>
    <row r="1888" ht="15.75" customHeight="1">
      <c r="A1888" s="1" t="s">
        <v>2257</v>
      </c>
      <c r="B1888" s="2" t="s">
        <v>2258</v>
      </c>
      <c r="C1888" s="2"/>
    </row>
    <row r="1889" ht="15.75" customHeight="1">
      <c r="B1889" s="2" t="s">
        <v>452</v>
      </c>
      <c r="C1889" s="2" t="s">
        <v>2259</v>
      </c>
    </row>
    <row r="1890" ht="15.75" customHeight="1">
      <c r="A1890" s="2" t="s">
        <v>4</v>
      </c>
      <c r="B1890" s="2" t="str">
        <f>IFERROR(__xludf.DUMMYFUNCTION("CONCAT(""&lt;"",GOOGLETRANSLATE(B1889,""en"",""ar""))"),"&lt;رجل")</f>
        <v>&lt;رجل</v>
      </c>
      <c r="C1890" s="2" t="str">
        <f>IFERROR(__xludf.DUMMYFUNCTION("CONCAT(""&lt;"",GOOGLETRANSLATE(C1889,""en"",""ar""))"),"&lt;نيف. لتصبح مريضة")</f>
        <v>&lt;نيف. لتصبح مريضة</v>
      </c>
    </row>
    <row r="1891" ht="15.75" customHeight="1">
      <c r="A1891" s="1" t="s">
        <v>2260</v>
      </c>
      <c r="B1891" s="2" t="s">
        <v>2261</v>
      </c>
      <c r="C1891" s="2"/>
    </row>
    <row r="1892" ht="15.75" customHeight="1">
      <c r="B1892" s="2" t="s">
        <v>2262</v>
      </c>
    </row>
    <row r="1893" ht="15.75" customHeight="1">
      <c r="A1893" s="2" t="s">
        <v>4</v>
      </c>
      <c r="B1893" s="2" t="str">
        <f>IFERROR(__xludf.DUMMYFUNCTION("CONCAT(""&lt;"",GOOGLETRANSLATE(B1892,""en"",""ar""))"),"&lt;أنت")</f>
        <v>&lt;أنت</v>
      </c>
      <c r="C1893" s="2"/>
    </row>
    <row r="1894" ht="15.75" customHeight="1">
      <c r="A1894" s="1" t="s">
        <v>2263</v>
      </c>
      <c r="B1894" s="2" t="s">
        <v>2264</v>
      </c>
      <c r="C1894" s="2"/>
    </row>
    <row r="1895" ht="15.75" customHeight="1">
      <c r="B1895" s="2" t="s">
        <v>2262</v>
      </c>
    </row>
    <row r="1896" ht="15.75" customHeight="1">
      <c r="A1896" s="2" t="s">
        <v>4</v>
      </c>
      <c r="B1896" s="2" t="str">
        <f>IFERROR(__xludf.DUMMYFUNCTION("CONCAT(""&lt;"",GOOGLETRANSLATE(B1895,""en"",""ar""))"),"&lt;أنت")</f>
        <v>&lt;أنت</v>
      </c>
      <c r="C1896" s="2"/>
    </row>
    <row r="1897" ht="15.75" customHeight="1">
      <c r="A1897" s="1" t="s">
        <v>2265</v>
      </c>
      <c r="B1897" s="2" t="s">
        <v>2266</v>
      </c>
      <c r="C1897" s="2"/>
    </row>
    <row r="1898" ht="15.75" customHeight="1">
      <c r="B1898" s="2" t="s">
        <v>2267</v>
      </c>
      <c r="C1898" s="2" t="s">
        <v>2268</v>
      </c>
    </row>
    <row r="1899" ht="15.75" customHeight="1">
      <c r="A1899" s="2" t="s">
        <v>4</v>
      </c>
      <c r="B1899" s="2" t="str">
        <f>IFERROR(__xludf.DUMMYFUNCTION("CONCAT(""&lt;"",GOOGLETRANSLATE(B1898,""en"",""ar""))"),"&lt;ك")</f>
        <v>&lt;ك</v>
      </c>
      <c r="C1899" s="2" t="str">
        <f>IFERROR(__xludf.DUMMYFUNCTION("CONCAT(""&lt;"",GOOGLETRANSLATE(C1898,""en"",""ar""))"),"&lt;(أ) ASA ؛ ابن أبيجا. ملك يهوذا (911/10-870/69) ؛ (ب) ASA ؛ والد بيريشيا ليفيت بعد المنفى")</f>
        <v>&lt;(أ) ASA ؛ ابن أبيجا. ملك يهوذا (911/10-870/69) ؛ (ب) ASA ؛ والد بيريشيا ليفيت بعد المنفى</v>
      </c>
    </row>
    <row r="1900" ht="15.75" customHeight="1">
      <c r="A1900" s="1" t="s">
        <v>2269</v>
      </c>
      <c r="B1900" s="2" t="s">
        <v>2270</v>
      </c>
      <c r="C1900" s="2"/>
    </row>
    <row r="1901" ht="15.75" customHeight="1">
      <c r="B1901" s="2" t="s">
        <v>2271</v>
      </c>
      <c r="C1901" s="2" t="s">
        <v>2272</v>
      </c>
    </row>
    <row r="1902" ht="15.75" customHeight="1">
      <c r="A1902" s="2" t="s">
        <v>4</v>
      </c>
      <c r="B1902" s="2" t="str">
        <f>IFERROR(__xludf.DUMMYFUNCTION("CONCAT(""&lt;"",GOOGLETRANSLATE(B1901,""en"",""ar""))"),"&lt;قارورة")</f>
        <v>&lt;قارورة</v>
      </c>
      <c r="C1902" s="2" t="str">
        <f>IFERROR(__xludf.DUMMYFUNCTION("CONCAT(""&lt;"",GOOGLETRANSLATE(C1901,""en"",""ar""))"),"&lt;زيت صغير")</f>
        <v>&lt;زيت صغير</v>
      </c>
    </row>
    <row r="1903" ht="15.75" customHeight="1">
      <c r="A1903" s="1" t="s">
        <v>2273</v>
      </c>
      <c r="B1903" s="2" t="s">
        <v>2274</v>
      </c>
      <c r="C1903" s="2"/>
    </row>
    <row r="1904" ht="15.75" customHeight="1">
      <c r="B1904" s="2" t="s">
        <v>2275</v>
      </c>
      <c r="C1904" s="2" t="s">
        <v>2276</v>
      </c>
    </row>
    <row r="1905" ht="15.75" customHeight="1">
      <c r="A1905" s="2" t="s">
        <v>4</v>
      </c>
      <c r="B1905" s="2" t="str">
        <f>IFERROR(__xludf.DUMMYFUNCTION("CONCAT(""&lt;"",GOOGLETRANSLATE(B1904,""en"",""ar""))"),"&lt;ضرر")</f>
        <v>&lt;ضرر</v>
      </c>
      <c r="C1905" s="2" t="str">
        <f>IFERROR(__xludf.DUMMYFUNCTION("CONCAT(""&lt;"",GOOGLETRANSLATE(C1904,""en"",""ar""))"),"&lt;حادث ، الأذى")</f>
        <v>&lt;حادث ، الأذى</v>
      </c>
    </row>
    <row r="1906" ht="15.75" customHeight="1">
      <c r="A1906" s="1" t="s">
        <v>2277</v>
      </c>
      <c r="B1906" s="2" t="s">
        <v>2278</v>
      </c>
      <c r="C1906" s="2"/>
    </row>
    <row r="1907" ht="15.75" customHeight="1">
      <c r="B1907" s="2" t="s">
        <v>2279</v>
      </c>
      <c r="C1907" s="2" t="s">
        <v>2280</v>
      </c>
    </row>
    <row r="1908" ht="15.75" customHeight="1">
      <c r="A1908" s="2" t="s">
        <v>4</v>
      </c>
      <c r="B1908" s="2" t="str">
        <f>IFERROR(__xludf.DUMMYFUNCTION("CONCAT(""&lt;"",GOOGLETRANSLATE(B1907,""en"",""ar""))"),"&lt;رابطة")</f>
        <v>&lt;رابطة</v>
      </c>
      <c r="C1908" s="2" t="str">
        <f>IFERROR(__xludf.DUMMYFUNCTION("CONCAT(""&lt;"",GOOGLETRANSLATE(C1907,""en"",""ar""))"),"&lt;فيتر")</f>
        <v>&lt;فيتر</v>
      </c>
    </row>
    <row r="1909" ht="15.75" customHeight="1">
      <c r="A1909" s="1" t="s">
        <v>2281</v>
      </c>
      <c r="B1909" s="2" t="s">
        <v>2282</v>
      </c>
      <c r="C1909" s="2"/>
    </row>
    <row r="1910" ht="15.75" customHeight="1">
      <c r="B1910" s="2" t="s">
        <v>2279</v>
      </c>
      <c r="C1910" s="2" t="s">
        <v>2280</v>
      </c>
    </row>
    <row r="1911" ht="15.75" customHeight="1">
      <c r="A1911" s="2" t="s">
        <v>4</v>
      </c>
      <c r="B1911" s="2" t="str">
        <f>IFERROR(__xludf.DUMMYFUNCTION("CONCAT(""&lt;"",GOOGLETRANSLATE(B1910,""en"",""ar""))"),"&lt;رابطة")</f>
        <v>&lt;رابطة</v>
      </c>
      <c r="C1911" s="2" t="str">
        <f>IFERROR(__xludf.DUMMYFUNCTION("CONCAT(""&lt;"",GOOGLETRANSLATE(C1910,""en"",""ar""))"),"&lt;فيتر")</f>
        <v>&lt;فيتر</v>
      </c>
    </row>
    <row r="1912" ht="15.75" customHeight="1">
      <c r="A1912" s="1" t="s">
        <v>2283</v>
      </c>
      <c r="B1912" s="2" t="s">
        <v>2284</v>
      </c>
      <c r="C1912" s="2"/>
    </row>
    <row r="1913" ht="15.75" customHeight="1">
      <c r="B1913" s="2" t="s">
        <v>2285</v>
      </c>
      <c r="C1913" s="2" t="s">
        <v>2286</v>
      </c>
    </row>
    <row r="1914" ht="15.75" customHeight="1">
      <c r="A1914" s="2" t="s">
        <v>4</v>
      </c>
      <c r="B1914" s="2" t="str">
        <f>IFERROR(__xludf.DUMMYFUNCTION("CONCAT(""&lt;"",GOOGLETRANSLATE(B1913,""en"",""ar""))"),"&lt;التجميع")</f>
        <v>&lt;التجميع</v>
      </c>
      <c r="C1914" s="2" t="str">
        <f>IFERROR(__xludf.DUMMYFUNCTION("CONCAT(""&lt;"",GOOGLETRANSLATE(C1913,""en"",""ar""))"),"&lt;حصاد")</f>
        <v>&lt;حصاد</v>
      </c>
    </row>
    <row r="1915" ht="15.75" customHeight="1">
      <c r="A1915" s="1" t="s">
        <v>2287</v>
      </c>
      <c r="B1915" s="2" t="s">
        <v>2288</v>
      </c>
      <c r="C1915" s="2"/>
    </row>
    <row r="1916" ht="15.75" customHeight="1">
      <c r="B1916" s="2" t="s">
        <v>2289</v>
      </c>
      <c r="C1916" s="2" t="s">
        <v>2289</v>
      </c>
    </row>
    <row r="1917" ht="15.75" customHeight="1">
      <c r="A1917" s="2" t="s">
        <v>4</v>
      </c>
      <c r="B1917" s="2" t="str">
        <f>IFERROR(__xludf.DUMMYFUNCTION("CONCAT(""&lt;"",GOOGLETRANSLATE(B1916,""en"",""ar""))"),"&lt;أسير")</f>
        <v>&lt;أسير</v>
      </c>
      <c r="C1917" s="2" t="str">
        <f>IFERROR(__xludf.DUMMYFUNCTION("CONCAT(""&lt;"",GOOGLETRANSLATE(C1916,""en"",""ar""))"),"&lt;أسير")</f>
        <v>&lt;أسير</v>
      </c>
    </row>
    <row r="1918" ht="15.75" customHeight="1">
      <c r="A1918" s="1" t="s">
        <v>2290</v>
      </c>
      <c r="B1918" s="2" t="s">
        <v>2291</v>
      </c>
      <c r="C1918" s="2"/>
    </row>
    <row r="1919" ht="15.75" customHeight="1">
      <c r="B1919" s="2" t="s">
        <v>2289</v>
      </c>
      <c r="C1919" s="2" t="s">
        <v>2289</v>
      </c>
    </row>
    <row r="1920" ht="15.75" customHeight="1">
      <c r="A1920" s="2" t="s">
        <v>4</v>
      </c>
      <c r="B1920" s="2" t="str">
        <f>IFERROR(__xludf.DUMMYFUNCTION("CONCAT(""&lt;"",GOOGLETRANSLATE(B1919,""en"",""ar""))"),"&lt;أسير")</f>
        <v>&lt;أسير</v>
      </c>
      <c r="C1920" s="2" t="str">
        <f>IFERROR(__xludf.DUMMYFUNCTION("CONCAT(""&lt;"",GOOGLETRANSLATE(C1919,""en"",""ar""))"),"&lt;أسير")</f>
        <v>&lt;أسير</v>
      </c>
    </row>
    <row r="1921" ht="15.75" customHeight="1">
      <c r="A1921" s="1" t="s">
        <v>2292</v>
      </c>
      <c r="B1921" s="2" t="s">
        <v>2293</v>
      </c>
      <c r="C1921" s="2"/>
    </row>
    <row r="1922" ht="15.75" customHeight="1">
      <c r="B1922" s="2" t="s">
        <v>2294</v>
      </c>
      <c r="C1922" s="2" t="s">
        <v>2295</v>
      </c>
    </row>
    <row r="1923" ht="15.75" customHeight="1">
      <c r="A1923" s="2" t="s">
        <v>4</v>
      </c>
      <c r="B1923" s="2" t="str">
        <f>IFERROR(__xludf.DUMMYFUNCTION("CONCAT(""&lt;"",GOOGLETRANSLATE(B1922,""en"",""ar""))"),"&lt;عسير")</f>
        <v>&lt;عسير</v>
      </c>
      <c r="C1923" s="2" t="str">
        <f>IFERROR(__xludf.DUMMYFUNCTION("CONCAT(""&lt;"",GOOGLETRANSLATE(C1922,""en"",""ar""))"),"&lt;عسير ابن كوراح سليل كوهاث ؛ قبيلة ليفي (2 ب) عسير ؛ ابن جيكونا ؛ (2C) عسير ؛ ابن ebiasaph ؛ سليل كوهاث ؛ سلف هيمان قبيلة ليفي")</f>
        <v>&lt;عسير ابن كوراح سليل كوهاث ؛ قبيلة ليفي (2 ب) عسير ؛ ابن جيكونا ؛ (2C) عسير ؛ ابن ebiasaph ؛ سليل كوهاث ؛ سلف هيمان قبيلة ليفي</v>
      </c>
    </row>
    <row r="1924" ht="15.75" customHeight="1">
      <c r="A1924" s="1" t="s">
        <v>2296</v>
      </c>
      <c r="B1924" s="2" t="s">
        <v>2297</v>
      </c>
      <c r="C1924" s="2"/>
    </row>
    <row r="1925" ht="15.75" customHeight="1">
      <c r="B1925" s="2" t="s">
        <v>2298</v>
      </c>
      <c r="C1925" s="2" t="s">
        <v>814</v>
      </c>
    </row>
    <row r="1926" ht="15.75" customHeight="1">
      <c r="A1926" s="2" t="s">
        <v>4</v>
      </c>
      <c r="B1926" s="2" t="str">
        <f>IFERROR(__xludf.DUMMYFUNCTION("CONCAT(""&lt;"",GOOGLETRANSLATE(B1925,""en"",""ar""))"),"&lt;مخزن")</f>
        <v>&lt;مخزن</v>
      </c>
      <c r="C1926" s="2" t="str">
        <f>IFERROR(__xludf.DUMMYFUNCTION("CONCAT(""&lt;"",GOOGLETRANSLATE(C1925,""en"",""ar""))"),"&lt;محل")</f>
        <v>&lt;محل</v>
      </c>
    </row>
    <row r="1927" ht="15.75" customHeight="1">
      <c r="A1927" s="1" t="s">
        <v>2299</v>
      </c>
      <c r="B1927" s="2" t="s">
        <v>2300</v>
      </c>
      <c r="C1927" s="2"/>
    </row>
    <row r="1928" ht="15.75" customHeight="1">
      <c r="B1928" s="2" t="s">
        <v>2301</v>
      </c>
      <c r="C1928" s="2" t="s">
        <v>2302</v>
      </c>
    </row>
    <row r="1929" ht="15.75" customHeight="1">
      <c r="A1929" s="2" t="s">
        <v>4</v>
      </c>
      <c r="B1929" s="2" t="str">
        <f>IFERROR(__xludf.DUMMYFUNCTION("CONCAT(""&lt;"",GOOGLETRANSLATE(B1928,""en"",""ar""))"),"&lt;أسنة")</f>
        <v>&lt;أسنة</v>
      </c>
      <c r="C1929" s="2" t="str">
        <f>IFERROR(__xludf.DUMMYFUNCTION("CONCAT(""&lt;"",GOOGLETRANSLATE(C1928,""en"",""ar""))"),"&lt;أسنة رأس الأسرة عبيد المعبد بعد المنفى")</f>
        <v>&lt;أسنة رأس الأسرة عبيد المعبد بعد المنفى</v>
      </c>
    </row>
    <row r="1930" ht="15.75" customHeight="1">
      <c r="A1930" s="1" t="s">
        <v>2303</v>
      </c>
      <c r="B1930" s="2" t="s">
        <v>2304</v>
      </c>
      <c r="C1930" s="2"/>
    </row>
    <row r="1931" ht="15.75" customHeight="1">
      <c r="B1931" s="2" t="s">
        <v>2305</v>
      </c>
      <c r="C1931" s="2" t="s">
        <v>2306</v>
      </c>
    </row>
    <row r="1932" ht="15.75" customHeight="1">
      <c r="A1932" s="2" t="s">
        <v>4</v>
      </c>
      <c r="B1932" s="2" t="str">
        <f>IFERROR(__xludf.DUMMYFUNCTION("CONCAT(""&lt;"",GOOGLETRANSLATE(B1931,""en"",""ar""))"),"&lt;Osnappar")</f>
        <v>&lt;Osnappar</v>
      </c>
      <c r="C1932" s="2" t="str">
        <f>IFERROR(__xludf.DUMMYFUNCTION("CONCAT(""&lt;"",GOOGLETRANSLATE(C1931,""en"",""ar""))"),"&lt;Osnappar ملك آشور = Ashurbanipal")</f>
        <v>&lt;Osnappar ملك آشور = Ashurbanipal</v>
      </c>
    </row>
    <row r="1933" ht="15.75" customHeight="1">
      <c r="A1933" s="1" t="s">
        <v>2307</v>
      </c>
      <c r="B1933" s="2" t="s">
        <v>2308</v>
      </c>
      <c r="C1933" s="2"/>
    </row>
    <row r="1934" ht="15.75" customHeight="1">
      <c r="B1934" s="2" t="s">
        <v>2309</v>
      </c>
      <c r="C1934" s="2" t="s">
        <v>2310</v>
      </c>
    </row>
    <row r="1935" ht="15.75" customHeight="1">
      <c r="A1935" s="2" t="s">
        <v>4</v>
      </c>
      <c r="B1935" s="2" t="str">
        <f>IFERROR(__xludf.DUMMYFUNCTION("CONCAT(""&lt;"",GOOGLETRANSLATE(B1934,""en"",""ar""))"),"&lt;أسناث")</f>
        <v>&lt;أسناث</v>
      </c>
      <c r="C1935" s="2" t="str">
        <f>IFERROR(__xludf.DUMMYFUNCTION("CONCAT(""&lt;"",GOOGLETRANSLATE(C1934,""en"",""ar""))"),"&lt;آسيناث ابنة بوتيفرا. زوجة يوسف")</f>
        <v>&lt;آسيناث ابنة بوتيفرا. زوجة يوسف</v>
      </c>
    </row>
    <row r="1936" ht="15.75" customHeight="1">
      <c r="A1936" s="1" t="s">
        <v>2311</v>
      </c>
      <c r="B1936" s="2" t="s">
        <v>2312</v>
      </c>
      <c r="C1936" s="2"/>
    </row>
    <row r="1937" ht="15.75" customHeight="1">
      <c r="B1937" s="2" t="s">
        <v>388</v>
      </c>
      <c r="C1937" s="2" t="s">
        <v>2313</v>
      </c>
    </row>
    <row r="1938" ht="15.75" customHeight="1">
      <c r="A1938" s="2" t="s">
        <v>4</v>
      </c>
      <c r="B1938" s="2" t="str">
        <f>IFERROR(__xludf.DUMMYFUNCTION("CONCAT(""&lt;"",GOOGLETRANSLATE(B1937,""en"",""ar""))"),"&lt;مع بعض سويا")</f>
        <v>&lt;مع بعض سويا</v>
      </c>
      <c r="C1938" s="2" t="str">
        <f>IFERROR(__xludf.DUMMYFUNCTION("CONCAT(""&lt;"",GOOGLETRANSLATE(C1937,""en"",""ar""))"),"&lt;(أ) QAL لتشكيل الحارس الخلفي ؛ (ب) QAL لجمع ، والاستيلاء ، خذ ؛ (ج) نيف. للقاء ، والتجمع ، والتجمع ، وأخذت بعيدا ؛ (د) PI. لجمع ، خذ ؛ (هـ) PI. لتشكيل الحارس الخلفي. (و) بو. ليتم جمعها (ز) HITP. مع بعض سويا")</f>
        <v>&lt;(أ) QAL لتشكيل الحارس الخلفي ؛ (ب) QAL لجمع ، والاستيلاء ، خذ ؛ (ج) نيف. للقاء ، والتجمع ، والتجمع ، وأخذت بعيدا ؛ (د) PI. لجمع ، خذ ؛ (هـ) PI. لتشكيل الحارس الخلفي. (و) بو. ليتم جمعها (ز) HITP. مع بعض سويا</v>
      </c>
    </row>
    <row r="1939" ht="15.75" customHeight="1">
      <c r="A1939" s="1" t="s">
        <v>2314</v>
      </c>
      <c r="B1939" s="2" t="s">
        <v>2315</v>
      </c>
      <c r="C1939" s="2"/>
    </row>
    <row r="1940" ht="15.75" customHeight="1">
      <c r="B1940" s="2" t="s">
        <v>2316</v>
      </c>
      <c r="C1940" s="2" t="s">
        <v>2317</v>
      </c>
    </row>
    <row r="1941" ht="15.75" customHeight="1">
      <c r="A1941" s="2" t="s">
        <v>4</v>
      </c>
      <c r="B1941" s="2" t="str">
        <f>IFERROR(__xludf.DUMMYFUNCTION("CONCAT(""&lt;"",GOOGLETRANSLATE(B1940,""en"",""ar""))"),"&lt;ASAPH")</f>
        <v>&lt;ASAPH</v>
      </c>
      <c r="C1941" s="2" t="str">
        <f>IFERROR(__xludf.DUMMYFUNCTION("CONCAT(""&lt;"",GOOGLETRANSLATE(C1940,""en"",""ar""))"),"&lt;(أ) ASAPH ؛ ابن جويل مغني المعبد وقت الملك داود (ب) آساف ؛ والد جواح ، مسجل ؛ وقت الملك حزقيا ؛ (ج) ASAPH ؛ حارس الغابات بعد المنفى")</f>
        <v>&lt;(أ) ASAPH ؛ ابن جويل مغني المعبد وقت الملك داود (ب) آساف ؛ والد جواح ، مسجل ؛ وقت الملك حزقيا ؛ (ج) ASAPH ؛ حارس الغابات بعد المنفى</v>
      </c>
    </row>
    <row r="1942" ht="15.75" customHeight="1">
      <c r="A1942" s="1" t="s">
        <v>2318</v>
      </c>
      <c r="B1942" s="2" t="s">
        <v>2319</v>
      </c>
      <c r="C1942" s="2"/>
    </row>
    <row r="1943" ht="15.75" customHeight="1">
      <c r="B1943" s="2" t="s">
        <v>2298</v>
      </c>
      <c r="C1943" s="2" t="s">
        <v>814</v>
      </c>
    </row>
    <row r="1944" ht="15.75" customHeight="1">
      <c r="A1944" s="2" t="s">
        <v>4</v>
      </c>
      <c r="B1944" s="2" t="str">
        <f>IFERROR(__xludf.DUMMYFUNCTION("CONCAT(""&lt;"",GOOGLETRANSLATE(B1943,""en"",""ar""))"),"&lt;مخزن")</f>
        <v>&lt;مخزن</v>
      </c>
      <c r="C1944" s="2" t="str">
        <f>IFERROR(__xludf.DUMMYFUNCTION("CONCAT(""&lt;"",GOOGLETRANSLATE(C1943,""en"",""ar""))"),"&lt;محل")</f>
        <v>&lt;محل</v>
      </c>
    </row>
    <row r="1945" ht="15.75" customHeight="1">
      <c r="A1945" s="1" t="s">
        <v>2320</v>
      </c>
      <c r="B1945" s="2" t="s">
        <v>2321</v>
      </c>
      <c r="C1945" s="2"/>
    </row>
    <row r="1946" ht="15.75" customHeight="1">
      <c r="B1946" s="2" t="s">
        <v>2322</v>
      </c>
      <c r="C1946" s="2" t="s">
        <v>2323</v>
      </c>
    </row>
    <row r="1947" ht="15.75" customHeight="1">
      <c r="A1947" s="2" t="s">
        <v>4</v>
      </c>
      <c r="B1947" s="2" t="str">
        <f>IFERROR(__xludf.DUMMYFUNCTION("CONCAT(""&lt;"",GOOGLETRANSLATE(B1946,""en"",""ar""))"),"&lt;تجمع")</f>
        <v>&lt;تجمع</v>
      </c>
      <c r="C1947" s="2" t="str">
        <f>IFERROR(__xludf.DUMMYFUNCTION("CONCAT(""&lt;"",GOOGLETRANSLATE(C1946,""en"",""ar""))"),"&lt;التنقيب \ المتجر")</f>
        <v>&lt;التنقيب \ المتجر</v>
      </c>
    </row>
    <row r="1948" ht="15.75" customHeight="1">
      <c r="A1948" s="1" t="s">
        <v>2324</v>
      </c>
      <c r="B1948" s="2" t="s">
        <v>2325</v>
      </c>
      <c r="C1948" s="2"/>
    </row>
    <row r="1949" ht="15.75" customHeight="1">
      <c r="B1949" s="2" t="s">
        <v>2326</v>
      </c>
      <c r="C1949" s="2" t="s">
        <v>2327</v>
      </c>
    </row>
    <row r="1950" ht="15.75" customHeight="1">
      <c r="A1950" s="2" t="s">
        <v>4</v>
      </c>
      <c r="B1950" s="2" t="str">
        <f>IFERROR(__xludf.DUMMYFUNCTION("CONCAT(""&lt;"",GOOGLETRANSLATE(B1949,""en"",""ar""))"),"&lt;جمع")</f>
        <v>&lt;جمع</v>
      </c>
      <c r="C1950" s="2" t="str">
        <f>IFERROR(__xludf.DUMMYFUNCTION("CONCAT(""&lt;"",GOOGLETRANSLATE(C1949,""en"",""ar""))"),"&lt;مجموعة")</f>
        <v>&lt;مجموعة</v>
      </c>
    </row>
    <row r="1951" ht="15.75" customHeight="1">
      <c r="A1951" s="1" t="s">
        <v>2328</v>
      </c>
      <c r="B1951" s="2" t="s">
        <v>2329</v>
      </c>
      <c r="C1951" s="2"/>
    </row>
    <row r="1952" ht="15.75" customHeight="1">
      <c r="B1952" s="2" t="s">
        <v>2327</v>
      </c>
      <c r="C1952" s="2" t="s">
        <v>2327</v>
      </c>
    </row>
    <row r="1953" ht="15.75" customHeight="1">
      <c r="A1953" s="2" t="s">
        <v>4</v>
      </c>
      <c r="B1953" s="2" t="str">
        <f>IFERROR(__xludf.DUMMYFUNCTION("CONCAT(""&lt;"",GOOGLETRANSLATE(B1952,""en"",""ar""))"),"&lt;مجموعة")</f>
        <v>&lt;مجموعة</v>
      </c>
      <c r="C1953" s="2" t="str">
        <f>IFERROR(__xludf.DUMMYFUNCTION("CONCAT(""&lt;"",GOOGLETRANSLATE(C1952,""en"",""ar""))"),"&lt;مجموعة")</f>
        <v>&lt;مجموعة</v>
      </c>
    </row>
    <row r="1954" ht="15.75" customHeight="1">
      <c r="A1954" s="1" t="s">
        <v>2330</v>
      </c>
      <c r="B1954" s="2" t="s">
        <v>2331</v>
      </c>
      <c r="C1954" s="2"/>
    </row>
    <row r="1955" ht="15.75" customHeight="1">
      <c r="B1955" s="2" t="s">
        <v>2332</v>
      </c>
      <c r="C1955" s="2" t="s">
        <v>2333</v>
      </c>
    </row>
    <row r="1956" ht="15.75" customHeight="1">
      <c r="A1956" s="2" t="s">
        <v>4</v>
      </c>
      <c r="B1956" s="2" t="str">
        <f>IFERROR(__xludf.DUMMYFUNCTION("CONCAT(""&lt;"",GOOGLETRANSLATE(B1955,""en"",""ar""))"),"&lt;رعاع")</f>
        <v>&lt;رعاع</v>
      </c>
      <c r="C1956" s="2" t="str">
        <f>IFERROR(__xludf.DUMMYFUNCTION("CONCAT(""&lt;"",GOOGLETRANSLATE(C1955,""en"",""ar""))"),"&lt;ريف راف")</f>
        <v>&lt;ريف راف</v>
      </c>
    </row>
    <row r="1957" ht="15.75" customHeight="1">
      <c r="A1957" s="1" t="s">
        <v>2334</v>
      </c>
      <c r="B1957" s="2" t="s">
        <v>2335</v>
      </c>
      <c r="C1957" s="2"/>
    </row>
    <row r="1958" ht="15.75" customHeight="1">
      <c r="B1958" s="2" t="s">
        <v>565</v>
      </c>
    </row>
    <row r="1959" ht="15.75" customHeight="1">
      <c r="A1959" s="2" t="s">
        <v>4</v>
      </c>
      <c r="B1959" s="2" t="str">
        <f>IFERROR(__xludf.DUMMYFUNCTION("CONCAT(""&lt;"",GOOGLETRANSLATE(B1958,""en"",""ar""))"),"&lt;بجد")</f>
        <v>&lt;بجد</v>
      </c>
      <c r="C1959" s="2"/>
    </row>
    <row r="1960" ht="15.75" customHeight="1">
      <c r="A1960" s="1" t="s">
        <v>2336</v>
      </c>
      <c r="B1960" s="2" t="s">
        <v>2337</v>
      </c>
      <c r="C1960" s="2"/>
    </row>
    <row r="1961" ht="15.75" customHeight="1">
      <c r="B1961" s="2" t="s">
        <v>2338</v>
      </c>
      <c r="C1961" s="2" t="s">
        <v>2339</v>
      </c>
    </row>
    <row r="1962" ht="15.75" customHeight="1">
      <c r="A1962" s="2" t="s">
        <v>4</v>
      </c>
      <c r="B1962" s="2" t="str">
        <f>IFERROR(__xludf.DUMMYFUNCTION("CONCAT(""&lt;"",GOOGLETRANSLATE(B1961,""en"",""ar""))"),"&lt;Aspatha")</f>
        <v>&lt;Aspatha</v>
      </c>
      <c r="C1962" s="2" t="str">
        <f>IFERROR(__xludf.DUMMYFUNCTION("CONCAT(""&lt;"",GOOGLETRANSLATE(C1961,""en"",""ar""))"),"&lt;aspatha ابن هامان")</f>
        <v>&lt;aspatha ابن هامان</v>
      </c>
    </row>
    <row r="1963" ht="15.75" customHeight="1">
      <c r="A1963" s="1" t="s">
        <v>2340</v>
      </c>
      <c r="B1963" s="2" t="s">
        <v>2341</v>
      </c>
      <c r="C1963" s="2"/>
    </row>
    <row r="1964" ht="15.75" customHeight="1">
      <c r="B1964" s="2" t="s">
        <v>2342</v>
      </c>
      <c r="C1964" s="2" t="s">
        <v>2343</v>
      </c>
    </row>
    <row r="1965" ht="15.75" customHeight="1">
      <c r="A1965" s="2" t="s">
        <v>4</v>
      </c>
      <c r="B1965" s="2" t="str">
        <f>IFERROR(__xludf.DUMMYFUNCTION("CONCAT(""&lt;"",GOOGLETRANSLATE(B1964,""en"",""ar""))"),"&lt;لربط")</f>
        <v>&lt;لربط</v>
      </c>
      <c r="C1965" s="2" t="str">
        <f>IFERROR(__xludf.DUMMYFUNCTION("CONCAT(""&lt;"",GOOGLETRANSLATE(C1964,""en"",""ar""))"),"&lt;السجن")</f>
        <v>&lt;السجن</v>
      </c>
    </row>
    <row r="1966" ht="15.75" customHeight="1">
      <c r="A1966" s="1" t="s">
        <v>2344</v>
      </c>
      <c r="B1966" s="2" t="s">
        <v>2345</v>
      </c>
      <c r="C1966" s="2"/>
    </row>
    <row r="1967" ht="15.75" customHeight="1">
      <c r="B1967" s="2" t="s">
        <v>2346</v>
      </c>
      <c r="C1967" s="2" t="s">
        <v>2347</v>
      </c>
    </row>
    <row r="1968" ht="15.75" customHeight="1">
      <c r="A1968" s="2" t="s">
        <v>4</v>
      </c>
      <c r="B1968" s="2" t="str">
        <f>IFERROR(__xludf.DUMMYFUNCTION("CONCAT(""&lt;"",GOOGLETRANSLATE(B1967,""en"",""ar""))"),"&lt;أمر قضائي")</f>
        <v>&lt;أمر قضائي</v>
      </c>
      <c r="C1968" s="2" t="str">
        <f>IFERROR(__xludf.DUMMYFUNCTION("CONCAT(""&lt;"",GOOGLETRANSLATE(C1967,""en"",""ar""))"),"&lt;نذر الامتناع عن ممارسة الجنس")</f>
        <v>&lt;نذر الامتناع عن ممارسة الجنس</v>
      </c>
    </row>
    <row r="1969" ht="15.75" customHeight="1">
      <c r="A1969" s="1" t="s">
        <v>2348</v>
      </c>
      <c r="B1969" s="2" t="s">
        <v>2349</v>
      </c>
      <c r="C1969" s="2"/>
    </row>
    <row r="1970" ht="15.75" customHeight="1">
      <c r="B1970" s="2" t="s">
        <v>2346</v>
      </c>
      <c r="C1970" s="2" t="s">
        <v>2350</v>
      </c>
    </row>
    <row r="1971" ht="15.75" customHeight="1">
      <c r="A1971" s="2" t="s">
        <v>4</v>
      </c>
      <c r="B1971" s="2" t="str">
        <f>IFERROR(__xludf.DUMMYFUNCTION("CONCAT(""&lt;"",GOOGLETRANSLATE(B1970,""en"",""ar""))"),"&lt;أمر قضائي")</f>
        <v>&lt;أمر قضائي</v>
      </c>
      <c r="C1971" s="2" t="str">
        <f>IFERROR(__xludf.DUMMYFUNCTION("CONCAT(""&lt;"",GOOGLETRANSLATE(C1970,""en"",""ar""))"),"&lt;(أ) QAL لربط ؛ (ب) QAL لربط نفسه مع نذر ؛ (ج) نيف. على أن تكون ملزمة؛ (د) بو. على أن تكون ملزمة")</f>
        <v>&lt;(أ) QAL لربط ؛ (ب) QAL لربط نفسه مع نذر ؛ (ج) نيف. على أن تكون ملزمة؛ (د) بو. على أن تكون ملزمة</v>
      </c>
    </row>
    <row r="1972" ht="15.75" customHeight="1">
      <c r="A1972" s="1" t="s">
        <v>2351</v>
      </c>
      <c r="B1972" s="2" t="s">
        <v>2352</v>
      </c>
      <c r="C1972" s="2"/>
    </row>
    <row r="1973" ht="15.75" customHeight="1">
      <c r="B1973" s="2" t="s">
        <v>2353</v>
      </c>
      <c r="C1973" s="2" t="s">
        <v>2354</v>
      </c>
    </row>
    <row r="1974" ht="15.75" customHeight="1">
      <c r="A1974" s="2" t="s">
        <v>4</v>
      </c>
      <c r="B1974" s="2" t="str">
        <f>IFERROR(__xludf.DUMMYFUNCTION("CONCAT(""&lt;"",GOOGLETRANSLATE(B1973,""en"",""ar""))"),"&lt;Esar-haddon")</f>
        <v>&lt;Esar-haddon</v>
      </c>
      <c r="C1974" s="2" t="str">
        <f>IFERROR(__xludf.DUMMYFUNCTION("CONCAT(""&lt;"",GOOGLETRANSLATE(C1973,""en"",""ar""))"),"&lt;Esarhaddon ابن سنشريب ؛ ملك آشور")</f>
        <v>&lt;Esarhaddon ابن سنشريب ؛ ملك آشور</v>
      </c>
    </row>
    <row r="1975" ht="15.75" customHeight="1">
      <c r="A1975" s="1" t="s">
        <v>2355</v>
      </c>
      <c r="B1975" s="2" t="s">
        <v>2356</v>
      </c>
      <c r="C1975" s="2"/>
    </row>
    <row r="1976" ht="15.75" customHeight="1">
      <c r="B1976" s="2" t="s">
        <v>2357</v>
      </c>
      <c r="C1976" s="2" t="s">
        <v>2358</v>
      </c>
    </row>
    <row r="1977" ht="15.75" customHeight="1">
      <c r="A1977" s="2" t="s">
        <v>4</v>
      </c>
      <c r="B1977" s="2" t="str">
        <f>IFERROR(__xludf.DUMMYFUNCTION("CONCAT(""&lt;"",GOOGLETRANSLATE(B1976,""en"",""ar""))"),"&lt;استير")</f>
        <v>&lt;استير</v>
      </c>
      <c r="C1977" s="2" t="str">
        <f>IFERROR(__xludf.DUMMYFUNCTION("CONCAT(""&lt;"",GOOGLETRANSLATE(C1976,""en"",""ar""))"),"&lt;استير امرأة؛ ملكة بلاد فارس")</f>
        <v>&lt;استير امرأة؛ ملكة بلاد فارس</v>
      </c>
    </row>
    <row r="1978" ht="15.75" customHeight="1">
      <c r="A1978" s="1" t="s">
        <v>2359</v>
      </c>
      <c r="B1978" s="2" t="s">
        <v>2360</v>
      </c>
      <c r="C1978" s="2"/>
    </row>
    <row r="1979" ht="15.75" customHeight="1">
      <c r="B1979" s="2" t="s">
        <v>2361</v>
      </c>
    </row>
    <row r="1980" ht="15.75" customHeight="1">
      <c r="A1980" s="2" t="s">
        <v>4</v>
      </c>
      <c r="B1980" s="2" t="str">
        <f>IFERROR(__xludf.DUMMYFUNCTION("CONCAT(""&lt;"",GOOGLETRANSLATE(B1979,""en"",""ar""))"),"&lt;خشب")</f>
        <v>&lt;خشب</v>
      </c>
      <c r="C1980" s="2"/>
    </row>
    <row r="1981" ht="15.75" customHeight="1">
      <c r="A1981" s="1" t="s">
        <v>2362</v>
      </c>
      <c r="B1981" s="2" t="s">
        <v>2363</v>
      </c>
      <c r="C1981" s="2"/>
    </row>
    <row r="1982" ht="15.75" customHeight="1">
      <c r="B1982" s="2" t="s">
        <v>2364</v>
      </c>
    </row>
    <row r="1983" ht="15.75" customHeight="1">
      <c r="A1983" s="2" t="s">
        <v>4</v>
      </c>
      <c r="B1983" s="2" t="str">
        <f>IFERROR(__xludf.DUMMYFUNCTION("CONCAT(""&lt;"",GOOGLETRANSLATE(B1982,""en"",""ar""))"),"&lt;أيضًا")</f>
        <v>&lt;أيضًا</v>
      </c>
      <c r="C1983" s="2"/>
    </row>
    <row r="1984" ht="15.75" customHeight="1">
      <c r="A1984" s="1" t="s">
        <v>2365</v>
      </c>
      <c r="B1984" s="2" t="s">
        <v>2366</v>
      </c>
      <c r="C1984" s="2"/>
    </row>
    <row r="1985" ht="15.75" customHeight="1">
      <c r="B1985" s="2" t="s">
        <v>2364</v>
      </c>
    </row>
    <row r="1986" ht="15.75" customHeight="1">
      <c r="A1986" s="2" t="s">
        <v>4</v>
      </c>
      <c r="B1986" s="2" t="str">
        <f>IFERROR(__xludf.DUMMYFUNCTION("CONCAT(""&lt;"",GOOGLETRANSLATE(B1985,""en"",""ar""))"),"&lt;أيضًا")</f>
        <v>&lt;أيضًا</v>
      </c>
      <c r="C1986" s="2"/>
    </row>
    <row r="1987" ht="15.75" customHeight="1">
      <c r="A1987" s="1" t="s">
        <v>2367</v>
      </c>
      <c r="B1987" s="2" t="s">
        <v>2368</v>
      </c>
      <c r="C1987" s="2"/>
    </row>
    <row r="1988" ht="15.75" customHeight="1">
      <c r="B1988" s="2" t="s">
        <v>2369</v>
      </c>
      <c r="C1988" s="2" t="s">
        <v>2370</v>
      </c>
    </row>
    <row r="1989" ht="15.75" customHeight="1">
      <c r="A1989" s="2" t="s">
        <v>4</v>
      </c>
      <c r="B1989" s="2" t="str">
        <f>IFERROR(__xludf.DUMMYFUNCTION("CONCAT(""&lt;"",GOOGLETRANSLATE(B1988,""en"",""ar""))"),"&lt;الغضب")</f>
        <v>&lt;الغضب</v>
      </c>
      <c r="C1989" s="2" t="str">
        <f>IFERROR(__xludf.DUMMYFUNCTION("CONCAT(""&lt;"",GOOGLETRANSLATE(C1988,""en"",""ar""))"),"&lt;(أ) أيضًا ، أكثر من أي وقت مضى ؛ (ب) الأنف والوجه والتنفس والغضب")</f>
        <v>&lt;(أ) أيضًا ، أكثر من أي وقت مضى ؛ (ب) الأنف والوجه والتنفس والغضب</v>
      </c>
    </row>
    <row r="1990" ht="15.75" customHeight="1">
      <c r="A1990" s="1" t="s">
        <v>2371</v>
      </c>
      <c r="B1990" s="2" t="s">
        <v>2372</v>
      </c>
      <c r="C1990" s="2"/>
    </row>
    <row r="1991" ht="15.75" customHeight="1">
      <c r="B1991" s="2" t="s">
        <v>953</v>
      </c>
      <c r="C1991" s="2" t="s">
        <v>2373</v>
      </c>
    </row>
    <row r="1992" ht="15.75" customHeight="1">
      <c r="A1992" s="2" t="s">
        <v>4</v>
      </c>
      <c r="B1992" s="2" t="str">
        <f>IFERROR(__xludf.DUMMYFUNCTION("CONCAT(""&lt;"",GOOGLETRANSLATE(B1991,""en"",""ar""))"),"&lt;إلى gird")</f>
        <v>&lt;إلى gird</v>
      </c>
      <c r="C1992" s="2" t="str">
        <f>IFERROR(__xludf.DUMMYFUNCTION("CONCAT(""&lt;"",GOOGLETRANSLATE(C1991,""en"",""ar""))"),"&lt;Qal to gird ، وضعت على \ cover")</f>
        <v>&lt;Qal to gird ، وضعت على \ cover</v>
      </c>
    </row>
    <row r="1993" ht="15.75" customHeight="1">
      <c r="A1993" s="1" t="s">
        <v>2374</v>
      </c>
      <c r="B1993" s="2" t="s">
        <v>2375</v>
      </c>
      <c r="C1993" s="2"/>
    </row>
    <row r="1994" ht="15.75" customHeight="1">
      <c r="B1994" s="2" t="s">
        <v>2376</v>
      </c>
      <c r="C1994" s="2" t="s">
        <v>2377</v>
      </c>
    </row>
    <row r="1995" ht="15.75" customHeight="1">
      <c r="A1995" s="2" t="s">
        <v>4</v>
      </c>
      <c r="B1995" s="2" t="str">
        <f>IFERROR(__xludf.DUMMYFUNCTION("CONCAT(""&lt;"",GOOGLETRANSLATE(B1994,""en"",""ar""))"),"&lt;إيفود")</f>
        <v>&lt;إيفود</v>
      </c>
      <c r="C1995" s="2" t="str">
        <f>IFERROR(__xludf.DUMMYFUNCTION("CONCAT(""&lt;"",GOOGLETRANSLATE(C1994,""en"",""ar""))"),"&lt;ephod والد هانييل قبيلة ماناس")</f>
        <v>&lt;ephod والد هانييل قبيلة ماناس</v>
      </c>
    </row>
    <row r="1996" ht="15.75" customHeight="1">
      <c r="A1996" s="1" t="s">
        <v>2378</v>
      </c>
      <c r="B1996" s="2" t="s">
        <v>2379</v>
      </c>
      <c r="C1996" s="2"/>
    </row>
    <row r="1997" ht="15.75" customHeight="1">
      <c r="B1997" s="2" t="s">
        <v>2380</v>
      </c>
      <c r="C1997" s="2" t="s">
        <v>2373</v>
      </c>
    </row>
    <row r="1998" ht="15.75" customHeight="1">
      <c r="A1998" s="2" t="s">
        <v>4</v>
      </c>
      <c r="B1998" s="2" t="str">
        <f>IFERROR(__xludf.DUMMYFUNCTION("CONCAT(""&lt;"",GOOGLETRANSLATE(B1997,""en"",""ar""))"),"&lt;إيفود")</f>
        <v>&lt;إيفود</v>
      </c>
      <c r="C1998" s="2" t="str">
        <f>IFERROR(__xludf.DUMMYFUNCTION("CONCAT(""&lt;"",GOOGLETRANSLATE(C1997,""en"",""ar""))"),"&lt;Qal to gird ، وضعت على \ cover")</f>
        <v>&lt;Qal to gird ، وضعت على \ cover</v>
      </c>
    </row>
    <row r="1999" ht="15.75" customHeight="1">
      <c r="A1999" s="1" t="s">
        <v>2381</v>
      </c>
      <c r="B1999" s="2" t="s">
        <v>2382</v>
      </c>
      <c r="C1999" s="2"/>
    </row>
    <row r="2000" ht="15.75" customHeight="1">
      <c r="B2000" s="2" t="s">
        <v>2383</v>
      </c>
      <c r="C2000" s="2" t="s">
        <v>2383</v>
      </c>
    </row>
    <row r="2001" ht="15.75" customHeight="1">
      <c r="A2001" s="2" t="s">
        <v>4</v>
      </c>
      <c r="B2001" s="2" t="str">
        <f>IFERROR(__xludf.DUMMYFUNCTION("CONCAT(""&lt;"",GOOGLETRANSLATE(B2000,""en"",""ar""))"),"&lt;قصر")</f>
        <v>&lt;قصر</v>
      </c>
      <c r="C2001" s="2" t="str">
        <f>IFERROR(__xludf.DUMMYFUNCTION("CONCAT(""&lt;"",GOOGLETRANSLATE(C2000,""en"",""ar""))"),"&lt;قصر")</f>
        <v>&lt;قصر</v>
      </c>
    </row>
    <row r="2002" ht="15.75" customHeight="1">
      <c r="A2002" s="1" t="s">
        <v>2384</v>
      </c>
      <c r="B2002" s="2" t="s">
        <v>2385</v>
      </c>
      <c r="C2002" s="2"/>
    </row>
    <row r="2003" ht="15.75" customHeight="1">
      <c r="B2003" s="2" t="s">
        <v>2386</v>
      </c>
      <c r="C2003" s="2" t="s">
        <v>2387</v>
      </c>
    </row>
    <row r="2004" ht="15.75" customHeight="1">
      <c r="A2004" s="2" t="s">
        <v>4</v>
      </c>
      <c r="B2004" s="2" t="str">
        <f>IFERROR(__xludf.DUMMYFUNCTION("CONCAT(""&lt;"",GOOGLETRANSLATE(B2003,""en"",""ar""))"),"&lt;ليخبز")</f>
        <v>&lt;ليخبز</v>
      </c>
      <c r="C2004" s="2" t="str">
        <f>IFERROR(__xludf.DUMMYFUNCTION("CONCAT(""&lt;"",GOOGLETRANSLATE(C2003,""en"",""ar""))"),"&lt;(أ) QAL للخبز ؛ (ب) QAL النشط النشط: بيكر ؛ (ج) نيف. أن تكون خبز")</f>
        <v>&lt;(أ) QAL للخبز ؛ (ب) QAL النشط النشط: بيكر ؛ (ج) نيف. أن تكون خبز</v>
      </c>
    </row>
    <row r="2005" ht="15.75" customHeight="1">
      <c r="A2005" s="1" t="s">
        <v>2388</v>
      </c>
      <c r="B2005" s="2" t="s">
        <v>2389</v>
      </c>
      <c r="C2005" s="2"/>
    </row>
    <row r="2006" ht="15.75" customHeight="1">
      <c r="B2006" s="2" t="s">
        <v>436</v>
      </c>
      <c r="C2006" s="2" t="s">
        <v>2390</v>
      </c>
    </row>
    <row r="2007" ht="15.75" customHeight="1">
      <c r="A2007" s="2" t="s">
        <v>4</v>
      </c>
      <c r="B2007" s="2" t="str">
        <f>IFERROR(__xludf.DUMMYFUNCTION("CONCAT(""&lt;"",GOOGLETRANSLATE(B2006,""en"",""ar""))"),"&lt;ثم")</f>
        <v>&lt;ثم</v>
      </c>
      <c r="C2007" s="2" t="str">
        <f>IFERROR(__xludf.DUMMYFUNCTION("CONCAT(""&lt;"",GOOGLETRANSLATE(C2006,""en"",""ar""))"),"&lt;والان اذن")</f>
        <v>&lt;والان اذن</v>
      </c>
    </row>
    <row r="2008" ht="15.75" customHeight="1">
      <c r="A2008" s="1" t="s">
        <v>2391</v>
      </c>
      <c r="B2008" s="2" t="s">
        <v>2392</v>
      </c>
      <c r="C2008" s="2"/>
    </row>
    <row r="2009" ht="15.75" customHeight="1">
      <c r="B2009" s="2" t="s">
        <v>2380</v>
      </c>
      <c r="C2009" s="2" t="s">
        <v>2393</v>
      </c>
    </row>
    <row r="2010" ht="15.75" customHeight="1">
      <c r="A2010" s="2" t="s">
        <v>4</v>
      </c>
      <c r="B2010" s="2" t="str">
        <f>IFERROR(__xludf.DUMMYFUNCTION("CONCAT(""&lt;"",GOOGLETRANSLATE(B2009,""en"",""ar""))"),"&lt;إيفود")</f>
        <v>&lt;إيفود</v>
      </c>
      <c r="C2010" s="2" t="str">
        <f>IFERROR(__xludf.DUMMYFUNCTION("CONCAT(""&lt;"",GOOGLETRANSLATE(C2009,""en"",""ar""))"),"&lt;(أ) ملابس الكتان ؛ الوصول من الكتفين إلى الخصر ؛ يستخدم بشكل رئيسي الكهنة. (ب) كائن غير معروف للعبادة")</f>
        <v>&lt;(أ) ملابس الكتان ؛ الوصول من الكتفين إلى الخصر ؛ يستخدم بشكل رئيسي الكهنة. (ب) كائن غير معروف للعبادة</v>
      </c>
    </row>
    <row r="2011" ht="15.75" customHeight="1">
      <c r="A2011" s="1" t="s">
        <v>2394</v>
      </c>
      <c r="B2011" s="2" t="s">
        <v>2395</v>
      </c>
      <c r="C2011" s="2"/>
    </row>
    <row r="2012" ht="15.75" customHeight="1">
      <c r="B2012" s="2" t="s">
        <v>2396</v>
      </c>
      <c r="C2012" s="2" t="s">
        <v>2397</v>
      </c>
    </row>
    <row r="2013" ht="15.75" customHeight="1">
      <c r="A2013" s="2" t="s">
        <v>4</v>
      </c>
      <c r="B2013" s="2" t="str">
        <f>IFERROR(__xludf.DUMMYFUNCTION("CONCAT(""&lt;"",GOOGLETRANSLATE(B2012,""en"",""ar""))"),"&lt;أفيا")</f>
        <v>&lt;أفيا</v>
      </c>
      <c r="C2013" s="2" t="str">
        <f>IFERROR(__xludf.DUMMYFUNCTION("CONCAT(""&lt;"",GOOGLETRANSLATE(C2012,""en"",""ar""))"),"&lt;أفيا رجل؛ قبيلة بنيامين")</f>
        <v>&lt;أفيا رجل؛ قبيلة بنيامين</v>
      </c>
    </row>
    <row r="2014" ht="15.75" customHeight="1">
      <c r="A2014" s="1" t="s">
        <v>2398</v>
      </c>
      <c r="B2014" s="2" t="s">
        <v>2399</v>
      </c>
      <c r="C2014" s="2"/>
    </row>
    <row r="2015" ht="15.75" customHeight="1">
      <c r="B2015" s="2" t="s">
        <v>2400</v>
      </c>
      <c r="C2015" s="2" t="s">
        <v>2400</v>
      </c>
    </row>
    <row r="2016" ht="15.75" customHeight="1">
      <c r="A2016" s="2" t="s">
        <v>4</v>
      </c>
      <c r="B2016" s="2" t="str">
        <f>IFERROR(__xludf.DUMMYFUNCTION("CONCAT(""&lt;"",GOOGLETRANSLATE(B2015,""en"",""ar""))"),"&lt;متأخر")</f>
        <v>&lt;متأخر</v>
      </c>
      <c r="C2016" s="2" t="str">
        <f>IFERROR(__xludf.DUMMYFUNCTION("CONCAT(""&lt;"",GOOGLETRANSLATE(C2015,""en"",""ar""))"),"&lt;متأخر")</f>
        <v>&lt;متأخر</v>
      </c>
    </row>
    <row r="2017" ht="15.75" customHeight="1">
      <c r="A2017" s="1" t="s">
        <v>2401</v>
      </c>
      <c r="B2017" s="2" t="s">
        <v>2402</v>
      </c>
      <c r="C2017" s="2"/>
    </row>
    <row r="2018" ht="15.75" customHeight="1">
      <c r="B2018" s="2" t="s">
        <v>2403</v>
      </c>
      <c r="C2018" s="2" t="s">
        <v>2404</v>
      </c>
    </row>
    <row r="2019" ht="15.75" customHeight="1">
      <c r="A2019" s="2" t="s">
        <v>4</v>
      </c>
      <c r="B2019" s="2" t="str">
        <f>IFERROR(__xludf.DUMMYFUNCTION("CONCAT(""&lt;"",GOOGLETRANSLATE(B2018,""en"",""ar""))"),"&lt;appaim")</f>
        <v>&lt;appaim</v>
      </c>
      <c r="C2019" s="2" t="str">
        <f>IFERROR(__xludf.DUMMYFUNCTION("CONCAT(""&lt;"",GOOGLETRANSLATE(C2018,""en"",""ar""))"),"&lt;appaim نسل Jerahmeel ؛ قبيلة يهوذا")</f>
        <v>&lt;appaim نسل Jerahmeel ؛ قبيلة يهوذا</v>
      </c>
    </row>
    <row r="2020" ht="15.75" customHeight="1">
      <c r="A2020" s="1" t="s">
        <v>2405</v>
      </c>
      <c r="B2020" s="2" t="s">
        <v>2406</v>
      </c>
      <c r="C2020" s="2"/>
    </row>
    <row r="2021" ht="15.75" customHeight="1">
      <c r="B2021" s="2" t="s">
        <v>2407</v>
      </c>
      <c r="C2021" s="2" t="s">
        <v>2408</v>
      </c>
    </row>
    <row r="2022" ht="15.75" customHeight="1">
      <c r="A2022" s="2" t="s">
        <v>4</v>
      </c>
      <c r="B2022" s="2" t="str">
        <f>IFERROR(__xludf.DUMMYFUNCTION("CONCAT(""&lt;"",GOOGLETRANSLATE(B2021,""en"",""ar""))"),"&lt;قناة")</f>
        <v>&lt;قناة</v>
      </c>
      <c r="C2022" s="2" t="str">
        <f>IFERROR(__xludf.DUMMYFUNCTION("CONCAT(""&lt;"",GOOGLETRANSLATE(C2021,""en"",""ar""))"),"&lt;(أ) شخص قوي ، أقوياء ؛ (ب) أنبوب ؛ (ج) صف (من الدروع) ؛ (د) مسار الماء ، سرير النهر")</f>
        <v>&lt;(أ) شخص قوي ، أقوياء ؛ (ب) أنبوب ؛ (ج) صف (من الدروع) ؛ (د) مسار الماء ، سرير النهر</v>
      </c>
    </row>
    <row r="2023" ht="15.75" customHeight="1">
      <c r="A2023" s="1" t="s">
        <v>2409</v>
      </c>
      <c r="B2023" s="2" t="s">
        <v>2410</v>
      </c>
      <c r="C2023" s="2"/>
    </row>
    <row r="2024" ht="15.75" customHeight="1">
      <c r="B2024" s="2" t="s">
        <v>2411</v>
      </c>
      <c r="C2024" s="2" t="s">
        <v>2412</v>
      </c>
    </row>
    <row r="2025" ht="15.75" customHeight="1">
      <c r="A2025" s="2" t="s">
        <v>4</v>
      </c>
      <c r="B2025" s="2" t="str">
        <f>IFERROR(__xludf.DUMMYFUNCTION("CONCAT(""&lt;"",GOOGLETRANSLATE(B2024,""en"",""ar""))"),"&lt;كآبة")</f>
        <v>&lt;كآبة</v>
      </c>
      <c r="C2025" s="2" t="str">
        <f>IFERROR(__xludf.DUMMYFUNCTION("CONCAT(""&lt;"",GOOGLETRANSLATE(C2024,""en"",""ar""))"),"&lt;الظلام \ الظلام")</f>
        <v>&lt;الظلام \ الظلام</v>
      </c>
    </row>
    <row r="2026" ht="15.75" customHeight="1">
      <c r="A2026" s="1" t="s">
        <v>2413</v>
      </c>
      <c r="B2026" s="2" t="s">
        <v>2414</v>
      </c>
      <c r="C2026" s="2"/>
    </row>
    <row r="2027" ht="15.75" customHeight="1">
      <c r="B2027" s="2" t="s">
        <v>2415</v>
      </c>
      <c r="C2027" s="2" t="s">
        <v>2412</v>
      </c>
    </row>
    <row r="2028" ht="15.75" customHeight="1">
      <c r="A2028" s="2" t="s">
        <v>4</v>
      </c>
      <c r="B2028" s="2" t="str">
        <f>IFERROR(__xludf.DUMMYFUNCTION("CONCAT(""&lt;"",GOOGLETRANSLATE(B2027,""en"",""ar""))"),"&lt;الظلام")</f>
        <v>&lt;الظلام</v>
      </c>
      <c r="C2028" s="2" t="str">
        <f>IFERROR(__xludf.DUMMYFUNCTION("CONCAT(""&lt;"",GOOGLETRANSLATE(C2027,""en"",""ar""))"),"&lt;الظلام \ الظلام")</f>
        <v>&lt;الظلام \ الظلام</v>
      </c>
    </row>
    <row r="2029" ht="15.75" customHeight="1">
      <c r="A2029" s="1" t="s">
        <v>2416</v>
      </c>
      <c r="B2029" s="2" t="s">
        <v>2417</v>
      </c>
      <c r="C2029" s="2"/>
    </row>
    <row r="2030" ht="15.75" customHeight="1">
      <c r="B2030" s="2" t="s">
        <v>2415</v>
      </c>
      <c r="C2030" s="2" t="s">
        <v>2415</v>
      </c>
    </row>
    <row r="2031" ht="15.75" customHeight="1">
      <c r="A2031" s="2" t="s">
        <v>4</v>
      </c>
      <c r="B2031" s="2" t="str">
        <f>IFERROR(__xludf.DUMMYFUNCTION("CONCAT(""&lt;"",GOOGLETRANSLATE(B2030,""en"",""ar""))"),"&lt;الظلام")</f>
        <v>&lt;الظلام</v>
      </c>
      <c r="C2031" s="2" t="str">
        <f>IFERROR(__xludf.DUMMYFUNCTION("CONCAT(""&lt;"",GOOGLETRANSLATE(C2030,""en"",""ar""))"),"&lt;الظلام")</f>
        <v>&lt;الظلام</v>
      </c>
    </row>
    <row r="2032" ht="15.75" customHeight="1">
      <c r="A2032" s="1" t="s">
        <v>2418</v>
      </c>
      <c r="B2032" s="2" t="s">
        <v>2419</v>
      </c>
      <c r="C2032" s="2"/>
    </row>
    <row r="2033" ht="15.75" customHeight="1">
      <c r="B2033" s="2" t="s">
        <v>2420</v>
      </c>
      <c r="C2033" s="2" t="s">
        <v>2421</v>
      </c>
    </row>
    <row r="2034" ht="15.75" customHeight="1">
      <c r="A2034" s="2" t="s">
        <v>4</v>
      </c>
      <c r="B2034" s="2" t="str">
        <f>IFERROR(__xludf.DUMMYFUNCTION("CONCAT(""&lt;"",GOOGLETRANSLATE(B2033,""en"",""ar""))"),"&lt;الفلال")</f>
        <v>&lt;الفلال</v>
      </c>
      <c r="C2034" s="2" t="str">
        <f>IFERROR(__xludf.DUMMYFUNCTION("CONCAT(""&lt;"",GOOGLETRANSLATE(C2033,""en"",""ar""))"),"&lt;أفسلال نسل Jerahmeel ؛ قبيلة يهوذا")</f>
        <v>&lt;أفسلال نسل Jerahmeel ؛ قبيلة يهوذا</v>
      </c>
    </row>
    <row r="2035" ht="15.75" customHeight="1">
      <c r="A2035" s="1" t="s">
        <v>2422</v>
      </c>
      <c r="B2035" s="2" t="s">
        <v>2423</v>
      </c>
      <c r="C2035" s="2"/>
    </row>
    <row r="2036" ht="15.75" customHeight="1">
      <c r="B2036" s="2" t="s">
        <v>2424</v>
      </c>
      <c r="C2036" s="2" t="s">
        <v>2425</v>
      </c>
    </row>
    <row r="2037" ht="15.75" customHeight="1">
      <c r="A2037" s="2" t="s">
        <v>4</v>
      </c>
      <c r="B2037" s="2" t="str">
        <f>IFERROR(__xludf.DUMMYFUNCTION("CONCAT(""&lt;"",GOOGLETRANSLATE(B2036,""en"",""ar""))"),"&lt;(الوقت المناسب")</f>
        <v>&lt;(الوقت المناسب</v>
      </c>
      <c r="C2037" s="2" t="str">
        <f>IFERROR(__xludf.DUMMYFUNCTION("CONCAT(""&lt;"",GOOGLETRANSLATE(C2036,""en"",""ar""))"),"&lt;موسم؟")</f>
        <v>&lt;موسم؟</v>
      </c>
    </row>
    <row r="2038" ht="15.75" customHeight="1">
      <c r="A2038" s="1" t="s">
        <v>2426</v>
      </c>
      <c r="B2038" s="2" t="s">
        <v>2427</v>
      </c>
      <c r="C2038" s="2"/>
    </row>
    <row r="2039" ht="15.75" customHeight="1">
      <c r="B2039" s="2" t="s">
        <v>2428</v>
      </c>
      <c r="C2039" s="2" t="s">
        <v>2429</v>
      </c>
    </row>
    <row r="2040" ht="15.75" customHeight="1">
      <c r="A2040" s="2" t="s">
        <v>4</v>
      </c>
      <c r="B2040" s="2" t="str">
        <f>IFERROR(__xludf.DUMMYFUNCTION("CONCAT(""&lt;"",GOOGLETRANSLATE(B2039,""en"",""ar""))"),"&lt;إلى النهاية")</f>
        <v>&lt;إلى النهاية</v>
      </c>
      <c r="C2040" s="2" t="str">
        <f>IFERROR(__xludf.DUMMYFUNCTION("CONCAT(""&lt;"",GOOGLETRANSLATE(C2039,""en"",""ar""))"),"&lt;نهاية ، لا شيء. لا ، لا شيء ، فقط \ qal للتوقف")</f>
        <v>&lt;نهاية ، لا شيء. لا ، لا شيء ، فقط \ qal للتوقف</v>
      </c>
    </row>
    <row r="2041" ht="15.75" customHeight="1">
      <c r="A2041" s="1" t="s">
        <v>2430</v>
      </c>
      <c r="B2041" s="2" t="s">
        <v>2431</v>
      </c>
      <c r="C2041" s="2"/>
    </row>
    <row r="2042" ht="15.75" customHeight="1">
      <c r="B2042" s="2" t="s">
        <v>1224</v>
      </c>
      <c r="C2042" s="2" t="s">
        <v>2429</v>
      </c>
    </row>
    <row r="2043" ht="15.75" customHeight="1">
      <c r="A2043" s="2" t="s">
        <v>4</v>
      </c>
      <c r="B2043" s="2" t="str">
        <f>IFERROR(__xludf.DUMMYFUNCTION("CONCAT(""&lt;"",GOOGLETRANSLATE(B2042,""en"",""ar""))"),"&lt;نهاية")</f>
        <v>&lt;نهاية</v>
      </c>
      <c r="C2043" s="2" t="str">
        <f>IFERROR(__xludf.DUMMYFUNCTION("CONCAT(""&lt;"",GOOGLETRANSLATE(C2042,""en"",""ar""))"),"&lt;نهاية ، لا شيء. لا ، لا شيء ، فقط \ qal للتوقف")</f>
        <v>&lt;نهاية ، لا شيء. لا ، لا شيء ، فقط \ qal للتوقف</v>
      </c>
    </row>
    <row r="2044" ht="15.75" customHeight="1">
      <c r="A2044" s="1" t="s">
        <v>2432</v>
      </c>
      <c r="B2044" s="2" t="s">
        <v>2433</v>
      </c>
      <c r="C2044" s="2"/>
    </row>
    <row r="2045" ht="15.75" customHeight="1">
      <c r="B2045" s="2" t="s">
        <v>2434</v>
      </c>
      <c r="C2045" s="2" t="s">
        <v>2435</v>
      </c>
    </row>
    <row r="2046" ht="15.75" customHeight="1">
      <c r="A2046" s="2" t="s">
        <v>4</v>
      </c>
      <c r="B2046" s="2" t="str">
        <f>IFERROR(__xludf.DUMMYFUNCTION("CONCAT(""&lt;"",GOOGLETRANSLATE(B2045,""en"",""ar""))"),"&lt;نعل")</f>
        <v>&lt;نعل</v>
      </c>
      <c r="C2046" s="2" t="str">
        <f>IFERROR(__xludf.DUMMYFUNCTION("CONCAT(""&lt;"",GOOGLETRANSLATE(C2045,""en"",""ar""))"),"&lt;الكاحلين")</f>
        <v>&lt;الكاحلين</v>
      </c>
    </row>
    <row r="2047" ht="15.75" customHeight="1">
      <c r="A2047" s="1" t="s">
        <v>2436</v>
      </c>
      <c r="B2047" s="2" t="s">
        <v>2437</v>
      </c>
      <c r="C2047" s="2"/>
    </row>
    <row r="2048" ht="15.75" customHeight="1">
      <c r="B2048" s="2" t="s">
        <v>2438</v>
      </c>
      <c r="C2048" s="2" t="s">
        <v>2439</v>
      </c>
    </row>
    <row r="2049" ht="15.75" customHeight="1">
      <c r="A2049" s="2" t="s">
        <v>4</v>
      </c>
      <c r="B2049" s="2" t="str">
        <f>IFERROR(__xludf.DUMMYFUNCTION("CONCAT(""&lt;"",GOOGLETRANSLATE(B2048,""en"",""ar""))"),"&lt;أفسس دامم")</f>
        <v>&lt;أفسس دامم</v>
      </c>
      <c r="C2049" s="2" t="str">
        <f>IFERROR(__xludf.DUMMYFUNCTION("CONCAT(""&lt;"",GOOGLETRANSLATE(C2048,""en"",""ar""))"),"&lt;أفسس دامم. موقع؛ أراضي يهوذا")</f>
        <v>&lt;أفسس دامم. موقع؛ أراضي يهوذا</v>
      </c>
    </row>
    <row r="2050" ht="15.75" customHeight="1">
      <c r="A2050" s="1" t="s">
        <v>2440</v>
      </c>
      <c r="B2050" s="2" t="s">
        <v>2441</v>
      </c>
      <c r="C2050" s="2"/>
    </row>
    <row r="2051" ht="15.75" customHeight="1">
      <c r="B2051" s="2" t="s">
        <v>1637</v>
      </c>
    </row>
    <row r="2052" ht="15.75" customHeight="1">
      <c r="A2052" s="2" t="s">
        <v>4</v>
      </c>
      <c r="B2052" s="2" t="str">
        <f>IFERROR(__xludf.DUMMYFUNCTION("CONCAT(""&lt;"",GOOGLETRANSLATE(B2051,""en"",""ar""))"),"&lt;عديم القيمة")</f>
        <v>&lt;عديم القيمة</v>
      </c>
      <c r="C2052" s="2"/>
    </row>
    <row r="2053" ht="15.75" customHeight="1">
      <c r="A2053" s="1" t="s">
        <v>2442</v>
      </c>
      <c r="B2053" s="2" t="s">
        <v>2443</v>
      </c>
      <c r="C2053" s="2"/>
    </row>
    <row r="2054" ht="15.75" customHeight="1">
      <c r="B2054" s="2" t="s">
        <v>2444</v>
      </c>
      <c r="C2054" s="2" t="s">
        <v>2445</v>
      </c>
    </row>
    <row r="2055" ht="15.75" customHeight="1">
      <c r="A2055" s="2" t="s">
        <v>4</v>
      </c>
      <c r="B2055" s="2" t="str">
        <f>IFERROR(__xludf.DUMMYFUNCTION("CONCAT(""&lt;"",GOOGLETRANSLATE(B2054,""en"",""ar""))"),"&lt;أفعى")</f>
        <v>&lt;أفعى</v>
      </c>
      <c r="C2055" s="2" t="str">
        <f>IFERROR(__xludf.DUMMYFUNCTION("CONCAT(""&lt;"",GOOGLETRANSLATE(C2054,""en"",""ar""))"),"&lt;أفعى السجاد")</f>
        <v>&lt;أفعى السجاد</v>
      </c>
    </row>
    <row r="2056" ht="15.75" customHeight="1">
      <c r="A2056" s="1" t="s">
        <v>2446</v>
      </c>
      <c r="B2056" s="2" t="s">
        <v>2447</v>
      </c>
      <c r="C2056" s="2"/>
    </row>
    <row r="2057" ht="15.75" customHeight="1">
      <c r="B2057" s="2" t="s">
        <v>2448</v>
      </c>
      <c r="C2057" s="2" t="s">
        <v>2449</v>
      </c>
    </row>
    <row r="2058" ht="15.75" customHeight="1">
      <c r="A2058" s="2" t="s">
        <v>4</v>
      </c>
      <c r="B2058" s="2" t="str">
        <f>IFERROR(__xludf.DUMMYFUNCTION("CONCAT(""&lt;"",GOOGLETRANSLATE(B2057,""en"",""ar""))"),"&lt;ليحيط")</f>
        <v>&lt;ليحيط</v>
      </c>
      <c r="C2058" s="2" t="str">
        <f>IFERROR(__xludf.DUMMYFUNCTION("CONCAT(""&lt;"",GOOGLETRANSLATE(C2057,""en"",""ar""))"),"&lt;QAL لتطويق")</f>
        <v>&lt;QAL لتطويق</v>
      </c>
    </row>
    <row r="2059" ht="15.75" customHeight="1">
      <c r="A2059" s="1" t="s">
        <v>2450</v>
      </c>
      <c r="B2059" s="2" t="s">
        <v>2451</v>
      </c>
      <c r="C2059" s="2"/>
    </row>
    <row r="2060" ht="15.75" customHeight="1">
      <c r="B2060" s="2" t="s">
        <v>2452</v>
      </c>
      <c r="C2060" s="2" t="s">
        <v>2453</v>
      </c>
    </row>
    <row r="2061" ht="15.75" customHeight="1">
      <c r="A2061" s="2" t="s">
        <v>4</v>
      </c>
      <c r="B2061" s="2" t="str">
        <f>IFERROR(__xludf.DUMMYFUNCTION("CONCAT(""&lt;"",GOOGLETRANSLATE(B2060,""en"",""ar""))"),"&lt;للامتناع")</f>
        <v>&lt;للامتناع</v>
      </c>
      <c r="C2061" s="2" t="str">
        <f>IFERROR(__xludf.DUMMYFUNCTION("CONCAT(""&lt;"",GOOGLETRANSLATE(C2060,""en"",""ar""))"),"&lt;HITP. لكبح نفسه")</f>
        <v>&lt;HITP. لكبح نفسه</v>
      </c>
    </row>
    <row r="2062" ht="15.75" customHeight="1">
      <c r="A2062" s="1" t="s">
        <v>2454</v>
      </c>
      <c r="B2062" s="2" t="s">
        <v>2455</v>
      </c>
      <c r="C2062" s="2"/>
    </row>
    <row r="2063" ht="15.75" customHeight="1">
      <c r="B2063" s="2" t="s">
        <v>2456</v>
      </c>
      <c r="C2063" s="2" t="s">
        <v>2457</v>
      </c>
    </row>
    <row r="2064" ht="15.75" customHeight="1">
      <c r="A2064" s="2" t="s">
        <v>4</v>
      </c>
      <c r="B2064" s="2" t="str">
        <f>IFERROR(__xludf.DUMMYFUNCTION("CONCAT(""&lt;"",GOOGLETRANSLATE(B2063,""en"",""ar""))"),"&lt;أفيك")</f>
        <v>&lt;أفيك</v>
      </c>
      <c r="C2064" s="2" t="str">
        <f>IFERROR(__xludf.DUMMYFUNCTION("CONCAT(""&lt;"",GOOGLETRANSLATE(C2063,""en"",""ar""))"),"&lt;(أ) أفيك ؛ بلدة؛ شارون ؛ غرب شيلو (ب) أفيك ؛ بلدة؛ سوريا؛ (c) אֲפִיק   Aphek; بلدة؛ أراضي آشر. (د) أفيك ؛ بلدة؛ الجولان")</f>
        <v>&lt;(أ) أفيك ؛ بلدة؛ شارون ؛ غرب شيلو (ب) أفيك ؛ بلدة؛ سوريا؛ (c) אֲפִיק   Aphek; بلدة؛ أراضي آشر. (د) أفيك ؛ بلدة؛ الجولان</v>
      </c>
    </row>
    <row r="2065" ht="15.75" customHeight="1">
      <c r="A2065" s="1" t="s">
        <v>2458</v>
      </c>
      <c r="B2065" s="2" t="s">
        <v>2459</v>
      </c>
      <c r="C2065" s="2"/>
    </row>
    <row r="2066" ht="15.75" customHeight="1">
      <c r="B2066" s="2" t="s">
        <v>2460</v>
      </c>
      <c r="C2066" s="2" t="s">
        <v>2461</v>
      </c>
    </row>
    <row r="2067" ht="15.75" customHeight="1">
      <c r="A2067" s="2" t="s">
        <v>4</v>
      </c>
      <c r="B2067" s="2" t="str">
        <f>IFERROR(__xludf.DUMMYFUNCTION("CONCAT(""&lt;"",GOOGLETRANSLATE(B2066,""en"",""ar""))"),"&lt;أفيكا")</f>
        <v>&lt;أفيكا</v>
      </c>
      <c r="C2067" s="2" t="str">
        <f>IFERROR(__xludf.DUMMYFUNCTION("CONCAT(""&lt;"",GOOGLETRANSLATE(C2066,""en"",""ar""))"),"&lt;أفيكا بلدة؛ أراضي يهوذا")</f>
        <v>&lt;أفيكا بلدة؛ أراضي يهوذا</v>
      </c>
    </row>
    <row r="2068" ht="15.75" customHeight="1">
      <c r="A2068" s="1" t="s">
        <v>2462</v>
      </c>
      <c r="B2068" s="2" t="s">
        <v>2463</v>
      </c>
      <c r="C2068" s="2"/>
    </row>
    <row r="2069" ht="15.75" customHeight="1">
      <c r="B2069" s="2" t="s">
        <v>2464</v>
      </c>
      <c r="C2069" s="2" t="s">
        <v>2465</v>
      </c>
    </row>
    <row r="2070" ht="15.75" customHeight="1">
      <c r="A2070" s="2" t="s">
        <v>4</v>
      </c>
      <c r="B2070" s="2" t="str">
        <f>IFERROR(__xludf.DUMMYFUNCTION("CONCAT(""&lt;"",GOOGLETRANSLATE(B2069,""en"",""ar""))"),"&lt;الرماد")</f>
        <v>&lt;الرماد</v>
      </c>
      <c r="C2070" s="2" t="str">
        <f>IFERROR(__xludf.DUMMYFUNCTION("CONCAT(""&lt;"",GOOGLETRANSLATE(C2069,""en"",""ar""))"),"&lt;الغبار \ الفرقة")</f>
        <v>&lt;الغبار \ الفرقة</v>
      </c>
    </row>
    <row r="2071" ht="15.75" customHeight="1">
      <c r="A2071" s="1" t="s">
        <v>2466</v>
      </c>
      <c r="B2071" s="2" t="s">
        <v>2467</v>
      </c>
      <c r="C2071" s="2"/>
    </row>
    <row r="2072" ht="15.75" customHeight="1">
      <c r="B2072" s="2" t="s">
        <v>2468</v>
      </c>
      <c r="C2072" s="2" t="s">
        <v>2465</v>
      </c>
    </row>
    <row r="2073" ht="15.75" customHeight="1">
      <c r="A2073" s="2" t="s">
        <v>4</v>
      </c>
      <c r="B2073" s="2" t="str">
        <f>IFERROR(__xludf.DUMMYFUNCTION("CONCAT(""&lt;"",GOOGLETRANSLATE(B2072,""en"",""ar""))"),"&lt;ضمادة")</f>
        <v>&lt;ضمادة</v>
      </c>
      <c r="C2073" s="2" t="str">
        <f>IFERROR(__xludf.DUMMYFUNCTION("CONCAT(""&lt;"",GOOGLETRANSLATE(C2072,""en"",""ar""))"),"&lt;الغبار \ الفرقة")</f>
        <v>&lt;الغبار \ الفرقة</v>
      </c>
    </row>
    <row r="2074" ht="15.75" customHeight="1">
      <c r="A2074" s="1" t="s">
        <v>2469</v>
      </c>
      <c r="B2074" s="2" t="s">
        <v>2470</v>
      </c>
      <c r="C2074" s="2"/>
    </row>
    <row r="2075" ht="15.75" customHeight="1">
      <c r="B2075" s="2" t="s">
        <v>2471</v>
      </c>
      <c r="C2075" s="2" t="s">
        <v>2472</v>
      </c>
    </row>
    <row r="2076" ht="15.75" customHeight="1">
      <c r="A2076" s="2" t="s">
        <v>4</v>
      </c>
      <c r="B2076" s="2" t="str">
        <f>IFERROR(__xludf.DUMMYFUNCTION("CONCAT(""&lt;"",GOOGLETRANSLATE(B2075,""en"",""ar""))"),"&lt;شاب")</f>
        <v>&lt;شاب</v>
      </c>
      <c r="C2076" s="2" t="str">
        <f>IFERROR(__xludf.DUMMYFUNCTION("CONCAT(""&lt;"",GOOGLETRANSLATE(C2075,""en"",""ar""))"),"&lt;شاب من الطيور")</f>
        <v>&lt;شاب من الطيور</v>
      </c>
    </row>
    <row r="2077" ht="15.75" customHeight="1">
      <c r="A2077" s="1" t="s">
        <v>2473</v>
      </c>
      <c r="B2077" s="2" t="s">
        <v>2474</v>
      </c>
      <c r="C2077" s="2"/>
    </row>
    <row r="2078" ht="15.75" customHeight="1">
      <c r="B2078" s="2" t="s">
        <v>2475</v>
      </c>
      <c r="C2078" s="2" t="s">
        <v>2476</v>
      </c>
    </row>
    <row r="2079" ht="15.75" customHeight="1">
      <c r="A2079" s="2" t="s">
        <v>4</v>
      </c>
      <c r="B2079" s="2" t="str">
        <f>IFERROR(__xludf.DUMMYFUNCTION("CONCAT(""&lt;"",GOOGLETRANSLATE(B2078,""en"",""ar""))"),"&lt;عربه قطار")</f>
        <v>&lt;عربه قطار</v>
      </c>
      <c r="C2079" s="2" t="str">
        <f>IFERROR(__xludf.DUMMYFUNCTION("CONCAT(""&lt;"",GOOGLETRANSLATE(C2078,""en"",""ar""))"),"&lt;قمامة")</f>
        <v>&lt;قمامة</v>
      </c>
    </row>
    <row r="2080" ht="15.75" customHeight="1">
      <c r="A2080" s="1" t="s">
        <v>2477</v>
      </c>
      <c r="B2080" s="2" t="s">
        <v>2478</v>
      </c>
      <c r="C2080" s="2"/>
    </row>
    <row r="2081" ht="15.75" customHeight="1">
      <c r="B2081" s="2" t="s">
        <v>2479</v>
      </c>
      <c r="C2081" s="2" t="s">
        <v>2480</v>
      </c>
    </row>
    <row r="2082" ht="15.75" customHeight="1">
      <c r="A2082" s="2" t="s">
        <v>4</v>
      </c>
      <c r="B2082" s="2" t="str">
        <f>IFERROR(__xludf.DUMMYFUNCTION("CONCAT(""&lt;"",GOOGLETRANSLATE(B2081,""en"",""ar""))"),"&lt;إفرايم")</f>
        <v>&lt;إفرايم</v>
      </c>
      <c r="C2082" s="2" t="str">
        <f>IFERROR(__xludf.DUMMYFUNCTION("CONCAT(""&lt;"",GOOGLETRANSLATE(C2081,""en"",""ar""))"),"&lt;إفرايم ابن يوسف مؤسس قبيلة إسرائيل")</f>
        <v>&lt;إفرايم ابن يوسف مؤسس قبيلة إسرائيل</v>
      </c>
    </row>
    <row r="2083" ht="15.75" customHeight="1">
      <c r="A2083" s="1" t="s">
        <v>2481</v>
      </c>
      <c r="B2083" s="2" t="s">
        <v>2482</v>
      </c>
      <c r="C2083" s="2"/>
    </row>
    <row r="2084" ht="15.75" customHeight="1">
      <c r="B2084" s="2" t="s">
        <v>2483</v>
      </c>
      <c r="C2084" s="2" t="s">
        <v>2484</v>
      </c>
    </row>
    <row r="2085" ht="15.75" customHeight="1">
      <c r="A2085" s="2" t="s">
        <v>4</v>
      </c>
      <c r="B2085" s="2" t="str">
        <f>IFERROR(__xludf.DUMMYFUNCTION("CONCAT(""&lt;"",GOOGLETRANSLATE(B2084,""en"",""ar""))"),"&lt;Apharsite")</f>
        <v>&lt;Apharsite</v>
      </c>
      <c r="C2085" s="2" t="str">
        <f>IFERROR(__xludf.DUMMYFUNCTION("CONCAT(""&lt;"",GOOGLETRANSLATE(C2084,""en"",""ar""))"),"&lt;عنوان المسؤول")</f>
        <v>&lt;عنوان المسؤول</v>
      </c>
    </row>
    <row r="2086" ht="15.75" customHeight="1">
      <c r="A2086" s="1" t="s">
        <v>2485</v>
      </c>
      <c r="B2086" s="2" t="s">
        <v>2486</v>
      </c>
      <c r="C2086" s="2"/>
    </row>
    <row r="2087" ht="15.75" customHeight="1">
      <c r="B2087" s="2" t="s">
        <v>2487</v>
      </c>
      <c r="C2087" s="2" t="s">
        <v>2484</v>
      </c>
    </row>
    <row r="2088" ht="15.75" customHeight="1">
      <c r="A2088" s="2" t="s">
        <v>4</v>
      </c>
      <c r="B2088" s="2" t="str">
        <f>IFERROR(__xludf.DUMMYFUNCTION("CONCAT(""&lt;"",GOOGLETRANSLATE(B2087,""en"",""ar""))"),"&lt;Apharsachite")</f>
        <v>&lt;Apharsachite</v>
      </c>
      <c r="C2088" s="2" t="str">
        <f>IFERROR(__xludf.DUMMYFUNCTION("CONCAT(""&lt;"",GOOGLETRANSLATE(C2087,""en"",""ar""))"),"&lt;عنوان المسؤول")</f>
        <v>&lt;عنوان المسؤول</v>
      </c>
    </row>
    <row r="2089" ht="15.75" customHeight="1">
      <c r="A2089" s="1" t="s">
        <v>2488</v>
      </c>
      <c r="B2089" s="2" t="s">
        <v>2486</v>
      </c>
      <c r="C2089" s="2"/>
    </row>
    <row r="2090" ht="15.75" customHeight="1">
      <c r="B2090" s="2" t="s">
        <v>2489</v>
      </c>
      <c r="C2090" s="2" t="s">
        <v>2484</v>
      </c>
    </row>
    <row r="2091" ht="15.75" customHeight="1">
      <c r="A2091" s="2" t="s">
        <v>4</v>
      </c>
      <c r="B2091" s="2" t="str">
        <f>IFERROR(__xludf.DUMMYFUNCTION("CONCAT(""&lt;"",GOOGLETRANSLATE(B2090,""en"",""ar""))"),"&lt;Apharashchite")</f>
        <v>&lt;Apharashchite</v>
      </c>
      <c r="C2091" s="2" t="str">
        <f>IFERROR(__xludf.DUMMYFUNCTION("CONCAT(""&lt;"",GOOGLETRANSLATE(C2090,""en"",""ar""))"),"&lt;عنوان المسؤول")</f>
        <v>&lt;عنوان المسؤول</v>
      </c>
    </row>
    <row r="2092" ht="15.75" customHeight="1">
      <c r="A2092" s="1" t="s">
        <v>2490</v>
      </c>
      <c r="B2092" s="2" t="s">
        <v>2491</v>
      </c>
      <c r="C2092" s="2"/>
    </row>
    <row r="2093" ht="15.75" customHeight="1">
      <c r="B2093" s="2" t="s">
        <v>2492</v>
      </c>
      <c r="C2093" s="2" t="s">
        <v>2493</v>
      </c>
    </row>
    <row r="2094" ht="15.75" customHeight="1">
      <c r="A2094" s="2" t="s">
        <v>4</v>
      </c>
      <c r="B2094" s="2" t="str">
        <f>IFERROR(__xludf.DUMMYFUNCTION("CONCAT(""&lt;"",GOOGLETRANSLATE(B2093,""en"",""ar""))"),"&lt;ephrathah")</f>
        <v>&lt;ephrathah</v>
      </c>
      <c r="C2094" s="2" t="str">
        <f>IFERROR(__xludf.DUMMYFUNCTION("CONCAT(""&lt;"",GOOGLETRANSLATE(C2093,""en"",""ar""))"),"&lt;(a) בֵּית לֶחֶם   Ephrath, Ephrathah; بلدة؛ أراضي يهوذا (ب) إفرث ، إيفراتاه ؛ زوجة كالب")</f>
        <v>&lt;(a) בֵּית לֶחֶם   Ephrath, Ephrathah; بلدة؛ أراضي يهوذا (ب) إفرث ، إيفراتاه ؛ زوجة كالب</v>
      </c>
    </row>
    <row r="2095" ht="15.75" customHeight="1">
      <c r="A2095" s="1" t="s">
        <v>2494</v>
      </c>
      <c r="B2095" s="2" t="s">
        <v>2495</v>
      </c>
      <c r="C2095" s="2"/>
    </row>
    <row r="2096" ht="15.75" customHeight="1">
      <c r="B2096" s="2" t="s">
        <v>2496</v>
      </c>
      <c r="C2096" s="2" t="s">
        <v>2497</v>
      </c>
    </row>
    <row r="2097" ht="15.75" customHeight="1">
      <c r="A2097" s="2" t="s">
        <v>4</v>
      </c>
      <c r="B2097" s="2" t="str">
        <f>IFERROR(__xludf.DUMMYFUNCTION("CONCAT(""&lt;"",GOOGLETRANSLATE(B2096,""en"",""ar""))"),"&lt;إيفراثيت")</f>
        <v>&lt;إيفراثيت</v>
      </c>
      <c r="C2097" s="2" t="str">
        <f>IFERROR(__xludf.DUMMYFUNCTION("CONCAT(""&lt;"",GOOGLETRANSLATE(C2096,""en"",""ar""))"),"&lt;(أ) إفرثيت ، إفرايميت ؛ ساكن أفرث. (ب) إيفراثيت ، إفرايميت ؛ عضو في قبيلة إفرايم")</f>
        <v>&lt;(أ) إفرثيت ، إفرايميت ؛ ساكن أفرث. (ب) إيفراثيت ، إفرايميت ؛ عضو في قبيلة إفرايم</v>
      </c>
    </row>
    <row r="2098" ht="15.75" customHeight="1">
      <c r="A2098" s="1" t="s">
        <v>2498</v>
      </c>
      <c r="B2098" s="2" t="s">
        <v>2499</v>
      </c>
      <c r="C2098" s="2"/>
    </row>
    <row r="2099" ht="15.75" customHeight="1">
      <c r="B2099" s="2" t="s">
        <v>2500</v>
      </c>
    </row>
    <row r="2100" ht="15.75" customHeight="1">
      <c r="A2100" s="2" t="s">
        <v>4</v>
      </c>
      <c r="B2100" s="2" t="str">
        <f>IFERROR(__xludf.DUMMYFUNCTION("CONCAT(""&lt;"",GOOGLETRANSLATE(B2099,""en"",""ar""))"),"&lt;ربح")</f>
        <v>&lt;ربح</v>
      </c>
      <c r="C2100" s="2"/>
    </row>
    <row r="2101" ht="15.75" customHeight="1">
      <c r="A2101" s="1" t="s">
        <v>2501</v>
      </c>
      <c r="B2101" s="2" t="s">
        <v>2502</v>
      </c>
      <c r="C2101" s="2"/>
    </row>
    <row r="2102" ht="15.75" customHeight="1">
      <c r="B2102" s="2" t="s">
        <v>2503</v>
      </c>
      <c r="C2102" s="2" t="s">
        <v>2504</v>
      </c>
    </row>
    <row r="2103" ht="15.75" customHeight="1">
      <c r="A2103" s="2" t="s">
        <v>4</v>
      </c>
      <c r="B2103" s="2" t="str">
        <f>IFERROR(__xludf.DUMMYFUNCTION("CONCAT(""&lt;"",GOOGLETRANSLATE(B2102,""en"",""ar""))"),"&lt;إيزبون")</f>
        <v>&lt;إيزبون</v>
      </c>
      <c r="C2103" s="2" t="str">
        <f>IFERROR(__xludf.DUMMYFUNCTION("CONCAT(""&lt;"",GOOGLETRANSLATE(C2102,""en"",""ar""))"),"&lt;(أ) إيزبون ؛ ابن جاد (ب) إيزبون ؛ ابن بيلا قبيلة بنيامين")</f>
        <v>&lt;(أ) إيزبون ؛ ابن جاد (ب) إيزبون ؛ ابن بيلا قبيلة بنيامين</v>
      </c>
    </row>
    <row r="2104" ht="15.75" customHeight="1">
      <c r="A2104" s="1" t="s">
        <v>2505</v>
      </c>
      <c r="B2104" s="2" t="s">
        <v>2506</v>
      </c>
      <c r="C2104" s="2"/>
    </row>
    <row r="2105" ht="15.75" customHeight="1">
      <c r="B2105" s="2" t="s">
        <v>2507</v>
      </c>
      <c r="C2105" s="2" t="s">
        <v>2508</v>
      </c>
    </row>
    <row r="2106" ht="15.75" customHeight="1">
      <c r="A2106" s="2" t="s">
        <v>4</v>
      </c>
      <c r="B2106" s="2" t="str">
        <f>IFERROR(__xludf.DUMMYFUNCTION("CONCAT(""&lt;"",GOOGLETRANSLATE(B2105,""en"",""ar""))"),"&lt;اصبع اليد")</f>
        <v>&lt;اصبع اليد</v>
      </c>
      <c r="C2106" s="2" t="str">
        <f>IFERROR(__xludf.DUMMYFUNCTION("CONCAT(""&lt;"",GOOGLETRANSLATE(C2105,""en"",""ar""))"),"&lt;(إصبع؛ (ب) الإصبع ؛ المقياس الخطي 1.85 سم")</f>
        <v>&lt;(إصبع؛ (ب) الإصبع ؛ المقياس الخطي 1.85 سم</v>
      </c>
    </row>
    <row r="2107" ht="15.75" customHeight="1">
      <c r="A2107" s="1" t="s">
        <v>2509</v>
      </c>
      <c r="B2107" s="2" t="s">
        <v>2506</v>
      </c>
      <c r="C2107" s="2"/>
    </row>
    <row r="2108" ht="15.75" customHeight="1">
      <c r="B2108" s="2" t="s">
        <v>2510</v>
      </c>
      <c r="C2108" s="2" t="s">
        <v>2508</v>
      </c>
    </row>
    <row r="2109" ht="15.75" customHeight="1">
      <c r="A2109" s="2" t="s">
        <v>4</v>
      </c>
      <c r="B2109" s="2" t="str">
        <f>IFERROR(__xludf.DUMMYFUNCTION("CONCAT(""&lt;"",GOOGLETRANSLATE(B2108,""en"",""ar""))"),"&lt;رقم")</f>
        <v>&lt;رقم</v>
      </c>
      <c r="C2109" s="2" t="str">
        <f>IFERROR(__xludf.DUMMYFUNCTION("CONCAT(""&lt;"",GOOGLETRANSLATE(C2108,""en"",""ar""))"),"&lt;(إصبع؛ (ب) الإصبع ؛ المقياس الخطي 1.85 سم")</f>
        <v>&lt;(إصبع؛ (ب) الإصبع ؛ المقياس الخطي 1.85 سم</v>
      </c>
    </row>
    <row r="2110" ht="15.75" customHeight="1">
      <c r="A2110" s="1" t="s">
        <v>2511</v>
      </c>
      <c r="B2110" s="2" t="s">
        <v>2512</v>
      </c>
      <c r="C2110" s="2"/>
    </row>
    <row r="2111" ht="15.75" customHeight="1">
      <c r="B2111" s="2" t="s">
        <v>1664</v>
      </c>
      <c r="C2111" s="2" t="s">
        <v>2513</v>
      </c>
    </row>
    <row r="2112" ht="15.75" customHeight="1">
      <c r="A2112" s="2" t="s">
        <v>4</v>
      </c>
      <c r="B2112" s="2" t="str">
        <f>IFERROR(__xludf.DUMMYFUNCTION("CONCAT(""&lt;"",GOOGLETRANSLATE(B2111,""en"",""ar""))"),"&lt;رئيس")</f>
        <v>&lt;رئيس</v>
      </c>
      <c r="C2112" s="2" t="str">
        <f>IFERROR(__xludf.DUMMYFUNCTION("CONCAT(""&lt;"",GOOGLETRANSLATE(C2111,""en"",""ar""))"),"&lt;(أ) الجزء البعيد ؛ (ب) متميز ، نبيل")</f>
        <v>&lt;(أ) الجزء البعيد ؛ (ب) متميز ، نبيل</v>
      </c>
    </row>
    <row r="2113" ht="15.75" customHeight="1">
      <c r="A2113" s="1" t="s">
        <v>2514</v>
      </c>
      <c r="B2113" s="2" t="s">
        <v>2515</v>
      </c>
      <c r="C2113" s="2"/>
    </row>
    <row r="2114" ht="15.75" customHeight="1">
      <c r="B2114" s="2" t="s">
        <v>2516</v>
      </c>
      <c r="C2114" s="2" t="s">
        <v>2517</v>
      </c>
    </row>
    <row r="2115" ht="15.75" customHeight="1">
      <c r="A2115" s="2" t="s">
        <v>4</v>
      </c>
      <c r="B2115" s="2" t="str">
        <f>IFERROR(__xludf.DUMMYFUNCTION("CONCAT(""&lt;"",GOOGLETRANSLATE(B2114,""en"",""ar""))"),"&lt;مشترك")</f>
        <v>&lt;مشترك</v>
      </c>
      <c r="C2115" s="2" t="str">
        <f>IFERROR(__xludf.DUMMYFUNCTION("CONCAT(""&lt;"",GOOGLETRANSLATE(C2114,""en"",""ar""))"),"&lt;(أ)   ؟؛ (ب) المفصل (من اليد): الرسغ")</f>
        <v>&lt;(أ)   ؟؛ (ب) المفصل (من اليد): الرسغ</v>
      </c>
    </row>
    <row r="2116" ht="15.75" customHeight="1">
      <c r="A2116" s="1" t="s">
        <v>2518</v>
      </c>
      <c r="B2116" s="2" t="s">
        <v>2519</v>
      </c>
      <c r="C2116" s="2"/>
    </row>
    <row r="2117" ht="15.75" customHeight="1">
      <c r="B2117" s="2" t="s">
        <v>2520</v>
      </c>
      <c r="C2117" s="2" t="s">
        <v>2521</v>
      </c>
    </row>
    <row r="2118" ht="15.75" customHeight="1">
      <c r="A2118" s="2" t="s">
        <v>4</v>
      </c>
      <c r="B2118" s="2" t="str">
        <f>IFERROR(__xludf.DUMMYFUNCTION("CONCAT(""&lt;"",GOOGLETRANSLATE(B2117,""en"",""ar""))"),"&lt;للحجز")</f>
        <v>&lt;للحجز</v>
      </c>
      <c r="C2118" s="2" t="str">
        <f>IFERROR(__xludf.DUMMYFUNCTION("CONCAT(""&lt;"",GOOGLETRANSLATE(C2117,""en"",""ar""))"),"&lt;(أ) QAL لتزدهر ؛ (ب) نيف. أن تقل")</f>
        <v>&lt;(أ) QAL لتزدهر ؛ (ب) نيف. أن تقل</v>
      </c>
    </row>
    <row r="2119" ht="15.75" customHeight="1">
      <c r="A2119" s="1" t="s">
        <v>2522</v>
      </c>
      <c r="B2119" s="2" t="s">
        <v>2523</v>
      </c>
      <c r="C2119" s="2"/>
    </row>
    <row r="2120" ht="15.75" customHeight="1">
      <c r="B2120" s="2" t="s">
        <v>2524</v>
      </c>
      <c r="C2120" s="2" t="s">
        <v>2525</v>
      </c>
    </row>
    <row r="2121" ht="15.75" customHeight="1">
      <c r="A2121" s="2" t="s">
        <v>4</v>
      </c>
      <c r="B2121" s="2" t="str">
        <f>IFERROR(__xludf.DUMMYFUNCTION("CONCAT(""&lt;"",GOOGLETRANSLATE(B2120,""en"",""ar""))"),"&lt;بجانب")</f>
        <v>&lt;بجانب</v>
      </c>
      <c r="C2121" s="2" t="str">
        <f>IFERROR(__xludf.DUMMYFUNCTION("CONCAT(""&lt;"",GOOGLETRANSLATE(C2120,""en"",""ar""))"),"&lt;بواسطة ، بالقرب")</f>
        <v>&lt;بواسطة ، بالقرب</v>
      </c>
    </row>
    <row r="2122" ht="15.75" customHeight="1">
      <c r="A2122" s="1" t="s">
        <v>2526</v>
      </c>
      <c r="B2122" s="2" t="s">
        <v>2527</v>
      </c>
      <c r="C2122" s="2"/>
    </row>
    <row r="2123" ht="15.75" customHeight="1">
      <c r="B2123" s="2" t="s">
        <v>2528</v>
      </c>
      <c r="C2123" s="2" t="s">
        <v>2529</v>
      </c>
    </row>
    <row r="2124" ht="15.75" customHeight="1">
      <c r="A2124" s="2" t="s">
        <v>4</v>
      </c>
      <c r="B2124" s="2" t="str">
        <f>IFERROR(__xludf.DUMMYFUNCTION("CONCAT(""&lt;"",GOOGLETRANSLATE(B2123,""en"",""ar""))"),"&lt;Azel")</f>
        <v>&lt;Azel</v>
      </c>
      <c r="C2124" s="2" t="str">
        <f>IFERROR(__xludf.DUMMYFUNCTION("CONCAT(""&lt;"",GOOGLETRANSLATE(C2123,""en"",""ar""))"),"&lt;(أ) عزيل ؛ ابن إليساه قبيلة بنيامين")</f>
        <v>&lt;(أ) عزيل ؛ ابن إليساه قبيلة بنيامين</v>
      </c>
    </row>
    <row r="2125" ht="15.75" customHeight="1">
      <c r="A2125" s="1" t="s">
        <v>2530</v>
      </c>
      <c r="B2125" s="2" t="s">
        <v>2531</v>
      </c>
      <c r="C2125" s="2"/>
    </row>
    <row r="2126" ht="15.75" customHeight="1">
      <c r="B2126" s="2" t="s">
        <v>2532</v>
      </c>
      <c r="C2126" s="2" t="s">
        <v>2533</v>
      </c>
    </row>
    <row r="2127" ht="15.75" customHeight="1">
      <c r="A2127" s="2" t="s">
        <v>4</v>
      </c>
      <c r="B2127" s="2" t="str">
        <f>IFERROR(__xludf.DUMMYFUNCTION("CONCAT(""&lt;"",GOOGLETRANSLATE(B2126,""en"",""ar""))"),"&lt;أزال")</f>
        <v>&lt;أزال</v>
      </c>
      <c r="C2127" s="2" t="str">
        <f>IFERROR(__xludf.DUMMYFUNCTION("CONCAT(""&lt;"",GOOGLETRANSLATE(C2126,""en"",""ar""))"),"&lt;(ب) Azel ؛ موقع")</f>
        <v>&lt;(ب) Azel ؛ موقع</v>
      </c>
    </row>
    <row r="2128" ht="15.75" customHeight="1">
      <c r="A2128" s="1" t="s">
        <v>2534</v>
      </c>
      <c r="B2128" s="2" t="s">
        <v>2535</v>
      </c>
      <c r="C2128" s="2"/>
    </row>
    <row r="2129" ht="15.75" customHeight="1">
      <c r="B2129" s="2" t="s">
        <v>2536</v>
      </c>
      <c r="C2129" s="2" t="s">
        <v>2537</v>
      </c>
    </row>
    <row r="2130" ht="15.75" customHeight="1">
      <c r="A2130" s="2" t="s">
        <v>4</v>
      </c>
      <c r="B2130" s="2" t="str">
        <f>IFERROR(__xludf.DUMMYFUNCTION("CONCAT(""&lt;"",GOOGLETRANSLATE(B2129,""en"",""ar""))"),"&lt;أزاليا")</f>
        <v>&lt;أزاليا</v>
      </c>
      <c r="C2130" s="2" t="str">
        <f>IFERROR(__xludf.DUMMYFUNCTION("CONCAT(""&lt;"",GOOGLETRANSLATE(C2129,""en"",""ar""))"),"&lt;أزاليا ابن ميشولام. والد الرشان ، سكرتير وقت الملك يوشيا")</f>
        <v>&lt;أزاليا ابن ميشولام. والد الرشان ، سكرتير وقت الملك يوشيا</v>
      </c>
    </row>
    <row r="2131" ht="15.75" customHeight="1">
      <c r="A2131" s="1" t="s">
        <v>2538</v>
      </c>
      <c r="B2131" s="2" t="s">
        <v>2539</v>
      </c>
      <c r="C2131" s="2"/>
    </row>
    <row r="2132" ht="15.75" customHeight="1">
      <c r="B2132" s="2" t="s">
        <v>2540</v>
      </c>
      <c r="C2132" s="2" t="s">
        <v>2541</v>
      </c>
    </row>
    <row r="2133" ht="15.75" customHeight="1">
      <c r="A2133" s="2" t="s">
        <v>4</v>
      </c>
      <c r="B2133" s="2" t="str">
        <f>IFERROR(__xludf.DUMMYFUNCTION("CONCAT(""&lt;"",GOOGLETRANSLATE(B2132,""en"",""ar""))"),"&lt;أوزيم")</f>
        <v>&lt;أوزيم</v>
      </c>
      <c r="C2133" s="2" t="str">
        <f>IFERROR(__xludf.DUMMYFUNCTION("CONCAT(""&lt;"",GOOGLETRANSLATE(C2132,""en"",""ar""))"),"&lt;(أ) أوزيم ؛ ابن جيسي شقيق ديفيد قبيلة يهوذا (ب) أوزيم ؛ ابن جيراهميل قبيلة يهوذا")</f>
        <v>&lt;(أ) أوزيم ؛ ابن جيسي شقيق ديفيد قبيلة يهوذا (ب) أوزيم ؛ ابن جيراهميل قبيلة يهوذا</v>
      </c>
    </row>
    <row r="2134" ht="15.75" customHeight="1">
      <c r="A2134" s="1" t="s">
        <v>2542</v>
      </c>
      <c r="B2134" s="2" t="s">
        <v>2543</v>
      </c>
      <c r="C2134" s="2"/>
    </row>
    <row r="2135" ht="15.75" customHeight="1">
      <c r="B2135" s="2" t="s">
        <v>2544</v>
      </c>
      <c r="C2135" s="2" t="s">
        <v>2545</v>
      </c>
    </row>
    <row r="2136" ht="15.75" customHeight="1">
      <c r="A2136" s="2" t="s">
        <v>4</v>
      </c>
      <c r="B2136" s="2" t="str">
        <f>IFERROR(__xludf.DUMMYFUNCTION("CONCAT(""&lt;"",GOOGLETRANSLATE(B2135,""en"",""ar""))"),"&lt;أرمليت")</f>
        <v>&lt;أرمليت</v>
      </c>
      <c r="C2136" s="2" t="str">
        <f>IFERROR(__xludf.DUMMYFUNCTION("CONCAT(""&lt;"",GOOGLETRANSLATE(C2135,""en"",""ar""))"),"&lt;إسورة")</f>
        <v>&lt;إسورة</v>
      </c>
    </row>
    <row r="2137" ht="15.75" customHeight="1">
      <c r="A2137" s="1" t="s">
        <v>2546</v>
      </c>
      <c r="B2137" s="2" t="s">
        <v>2547</v>
      </c>
      <c r="C2137" s="2"/>
    </row>
    <row r="2138" ht="15.75" customHeight="1">
      <c r="B2138" s="2" t="s">
        <v>2548</v>
      </c>
      <c r="C2138" s="2" t="s">
        <v>2549</v>
      </c>
    </row>
    <row r="2139" ht="15.75" customHeight="1">
      <c r="A2139" s="2" t="s">
        <v>4</v>
      </c>
      <c r="B2139" s="2" t="str">
        <f>IFERROR(__xludf.DUMMYFUNCTION("CONCAT(""&lt;"",GOOGLETRANSLATE(B2138,""en"",""ar""))"),"&lt;للتخزين")</f>
        <v>&lt;للتخزين</v>
      </c>
      <c r="C2139" s="2" t="str">
        <f>IFERROR(__xludf.DUMMYFUNCTION("CONCAT(""&lt;"",GOOGLETRANSLATE(C2138,""en"",""ar""))"),"&lt;(أ) QAL لتخزينها ؛ (ب) نيف. لتخزينها ؛ (ج) HIF. لتعيين أمين الصندوق")</f>
        <v>&lt;(أ) QAL لتخزينها ؛ (ب) نيف. لتخزينها ؛ (ج) HIF. لتعيين أمين الصندوق</v>
      </c>
    </row>
    <row r="2140" ht="15.75" customHeight="1">
      <c r="A2140" s="1" t="s">
        <v>2550</v>
      </c>
      <c r="B2140" s="2" t="s">
        <v>2551</v>
      </c>
      <c r="C2140" s="2"/>
    </row>
    <row r="2141" ht="15.75" customHeight="1">
      <c r="B2141" s="2" t="s">
        <v>2552</v>
      </c>
      <c r="C2141" s="2" t="s">
        <v>2553</v>
      </c>
    </row>
    <row r="2142" ht="15.75" customHeight="1">
      <c r="A2142" s="2" t="s">
        <v>4</v>
      </c>
      <c r="B2142" s="2" t="str">
        <f>IFERROR(__xludf.DUMMYFUNCTION("CONCAT(""&lt;"",GOOGLETRANSLATE(B2141,""en"",""ar""))"),"&lt;إزر")</f>
        <v>&lt;إزر</v>
      </c>
      <c r="C2142" s="2" t="str">
        <f>IFERROR(__xludf.DUMMYFUNCTION("CONCAT(""&lt;"",GOOGLETRANSLATE(C2141,""en"",""ar""))"),"&lt;إزر ابن سير")</f>
        <v>&lt;إزر ابن سير</v>
      </c>
    </row>
    <row r="2143" ht="15.75" customHeight="1">
      <c r="A2143" s="1" t="s">
        <v>2554</v>
      </c>
      <c r="B2143" s="2" t="s">
        <v>2555</v>
      </c>
      <c r="C2143" s="2"/>
    </row>
    <row r="2144" ht="15.75" customHeight="1">
      <c r="B2144" s="2" t="s">
        <v>2556</v>
      </c>
      <c r="C2144" s="2" t="s">
        <v>2557</v>
      </c>
    </row>
    <row r="2145" ht="15.75" customHeight="1">
      <c r="A2145" s="2" t="s">
        <v>4</v>
      </c>
      <c r="B2145" s="2" t="str">
        <f>IFERROR(__xludf.DUMMYFUNCTION("CONCAT(""&lt;"",GOOGLETRANSLATE(B2144,""en"",""ar""))"),"&lt;جمرة")</f>
        <v>&lt;جمرة</v>
      </c>
      <c r="C2145" s="2" t="str">
        <f>IFERROR(__xludf.DUMMYFUNCTION("CONCAT(""&lt;"",GOOGLETRANSLATE(C2144,""en"",""ar""))"),"&lt;حجر ثمين كيلو بايت بيريل ؛ RSV carbuncles. Neb Garnet (Firestone) ؛ JB Crystal")</f>
        <v>&lt;حجر ثمين كيلو بايت بيريل ؛ RSV carbuncles. Neb Garnet (Firestone) ؛ JB Crystal</v>
      </c>
    </row>
    <row r="2146" ht="15.75" customHeight="1">
      <c r="A2146" s="1" t="s">
        <v>2558</v>
      </c>
      <c r="B2146" s="2" t="s">
        <v>2559</v>
      </c>
      <c r="C2146" s="2"/>
    </row>
    <row r="2147" ht="15.75" customHeight="1">
      <c r="B2147" s="2" t="s">
        <v>2560</v>
      </c>
      <c r="C2147" s="2" t="s">
        <v>2561</v>
      </c>
    </row>
    <row r="2148" ht="15.75" customHeight="1">
      <c r="A2148" s="2" t="s">
        <v>4</v>
      </c>
      <c r="B2148" s="2" t="str">
        <f>IFERROR(__xludf.DUMMYFUNCTION("CONCAT(""&lt;"",GOOGLETRANSLATE(B2147,""en"",""ar""))"),"&lt;معزة برية")</f>
        <v>&lt;معزة برية</v>
      </c>
      <c r="C2148" s="2" t="str">
        <f>IFERROR(__xludf.DUMMYFUNCTION("CONCAT(""&lt;"",GOOGLETRANSLATE(C2147,""en"",""ar""))"),"&lt;Ibex ، الماعز البري")</f>
        <v>&lt;Ibex ، الماعز البري</v>
      </c>
    </row>
    <row r="2149" ht="15.75" customHeight="1">
      <c r="A2149" s="1" t="s">
        <v>2562</v>
      </c>
      <c r="B2149" s="2" t="s">
        <v>2563</v>
      </c>
      <c r="C2149" s="2"/>
    </row>
    <row r="2150" ht="15.75" customHeight="1">
      <c r="B2150" s="2" t="s">
        <v>2564</v>
      </c>
      <c r="C2150" s="2" t="s">
        <v>2565</v>
      </c>
    </row>
    <row r="2151" ht="15.75" customHeight="1">
      <c r="A2151" s="2" t="s">
        <v>4</v>
      </c>
      <c r="B2151" s="2" t="str">
        <f>IFERROR(__xludf.DUMMYFUNCTION("CONCAT(""&lt;"",GOOGLETRANSLATE(B2150,""en"",""ar""))"),"&lt;آرا")</f>
        <v>&lt;آرا</v>
      </c>
      <c r="C2151" s="2" t="str">
        <f>IFERROR(__xludf.DUMMYFUNCTION("CONCAT(""&lt;"",GOOGLETRANSLATE(C2150,""en"",""ar""))"),"&lt;آرا ابن جيذر قبيلة آشر")</f>
        <v>&lt;آرا ابن جيذر قبيلة آشر</v>
      </c>
    </row>
    <row r="2152" ht="15.75" customHeight="1">
      <c r="A2152" s="1" t="s">
        <v>2566</v>
      </c>
      <c r="B2152" s="2" t="s">
        <v>2567</v>
      </c>
      <c r="C2152" s="2"/>
    </row>
    <row r="2153" ht="15.75" customHeight="1">
      <c r="B2153" s="2" t="s">
        <v>1462</v>
      </c>
      <c r="C2153" s="2" t="s">
        <v>2568</v>
      </c>
    </row>
    <row r="2154" ht="15.75" customHeight="1">
      <c r="A2154" s="2" t="s">
        <v>4</v>
      </c>
      <c r="B2154" s="2" t="str">
        <f>IFERROR(__xludf.DUMMYFUNCTION("CONCAT(""&lt;"",GOOGLETRANSLATE(B2153,""en"",""ar""))"),"&lt;بطل")</f>
        <v>&lt;بطل</v>
      </c>
      <c r="C2154" s="2" t="str">
        <f>IFERROR(__xludf.DUMMYFUNCTION("CONCAT(""&lt;"",GOOGLETRANSLATE(C2153,""en"",""ar""))"),"&lt;جبار")</f>
        <v>&lt;جبار</v>
      </c>
    </row>
    <row r="2155" ht="15.75" customHeight="1">
      <c r="A2155" s="1" t="s">
        <v>2569</v>
      </c>
      <c r="B2155" s="2" t="s">
        <v>2570</v>
      </c>
      <c r="C2155" s="2"/>
    </row>
    <row r="2156" ht="15.75" customHeight="1">
      <c r="B2156" s="2" t="s">
        <v>2571</v>
      </c>
      <c r="C2156" s="2" t="s">
        <v>2572</v>
      </c>
    </row>
    <row r="2157" ht="15.75" customHeight="1">
      <c r="A2157" s="2" t="s">
        <v>4</v>
      </c>
      <c r="B2157" s="2" t="str">
        <f>IFERROR(__xludf.DUMMYFUNCTION("CONCAT(""&lt;"",GOOGLETRANSLATE(B2156,""en"",""ar""))"),"&lt;أريلي")</f>
        <v>&lt;أريلي</v>
      </c>
      <c r="C2157" s="2" t="str">
        <f>IFERROR(__xludf.DUMMYFUNCTION("CONCAT(""&lt;"",GOOGLETRANSLATE(C2156,""en"",""ar""))"),"&lt;(أ) أريلي (TE) ؛ ابن جاد (ب) أريلي (TE) ؛ سليل أريلي ، ابن جاد")</f>
        <v>&lt;(أ) أريلي (TE) ؛ ابن جاد (ب) أريلي (TE) ؛ سليل أريلي ، ابن جاد</v>
      </c>
    </row>
    <row r="2158" ht="15.75" customHeight="1">
      <c r="A2158" s="1" t="s">
        <v>2573</v>
      </c>
      <c r="B2158" s="2" t="s">
        <v>2574</v>
      </c>
      <c r="C2158" s="2"/>
    </row>
    <row r="2159" ht="15.75" customHeight="1">
      <c r="B2159" s="2" t="s">
        <v>2575</v>
      </c>
      <c r="C2159" s="2" t="s">
        <v>2576</v>
      </c>
    </row>
    <row r="2160" ht="15.75" customHeight="1">
      <c r="A2160" s="2" t="s">
        <v>4</v>
      </c>
      <c r="B2160" s="2" t="str">
        <f>IFERROR(__xludf.DUMMYFUNCTION("CONCAT(""&lt;"",GOOGLETRANSLATE(B2159,""en"",""ar""))"),"&lt;إلى كمين")</f>
        <v>&lt;إلى كمين</v>
      </c>
      <c r="C2160" s="2" t="str">
        <f>IFERROR(__xludf.DUMMYFUNCTION("CONCAT(""&lt;"",GOOGLETRANSLATE(C2159,""en"",""ar""))"),"&lt;(أ) QAL للاستلقاء في الانتظار ؛ (ب) QAL النشط النشط: الكذب في الانتظار ، كمين ؛ (ج) PI. للانتظار. (د) HIF. لوضع كمين")</f>
        <v>&lt;(أ) QAL للاستلقاء في الانتظار ؛ (ب) QAL النشط النشط: الكذب في الانتظار ، كمين ؛ (ج) PI. للانتظار. (د) HIF. لوضع كمين</v>
      </c>
    </row>
    <row r="2161" ht="15.75" customHeight="1">
      <c r="A2161" s="1" t="s">
        <v>2577</v>
      </c>
      <c r="B2161" s="2" t="s">
        <v>2578</v>
      </c>
      <c r="C2161" s="2"/>
    </row>
    <row r="2162" ht="15.75" customHeight="1">
      <c r="B2162" s="2" t="s">
        <v>2579</v>
      </c>
      <c r="C2162" s="2" t="s">
        <v>2580</v>
      </c>
    </row>
    <row r="2163" ht="15.75" customHeight="1">
      <c r="A2163" s="2" t="s">
        <v>4</v>
      </c>
      <c r="B2163" s="2" t="str">
        <f>IFERROR(__xludf.DUMMYFUNCTION("CONCAT(""&lt;"",GOOGLETRANSLATE(B2162,""en"",""ar""))"),"&lt;عرب")</f>
        <v>&lt;عرب</v>
      </c>
      <c r="C2163" s="2" t="str">
        <f>IFERROR(__xludf.DUMMYFUNCTION("CONCAT(""&lt;"",GOOGLETRANSLATE(C2162,""en"",""ar""))"),"&lt;عرب؛ بلدة؛ أراضي يهوذا")</f>
        <v>&lt;عرب؛ بلدة؛ أراضي يهوذا</v>
      </c>
    </row>
    <row r="2164" ht="15.75" customHeight="1">
      <c r="A2164" s="1" t="s">
        <v>2581</v>
      </c>
      <c r="B2164" s="2" t="s">
        <v>2582</v>
      </c>
      <c r="C2164" s="2"/>
    </row>
    <row r="2165" ht="15.75" customHeight="1">
      <c r="B2165" s="2" t="s">
        <v>2583</v>
      </c>
      <c r="C2165" s="2" t="s">
        <v>2584</v>
      </c>
    </row>
    <row r="2166" ht="15.75" customHeight="1">
      <c r="A2166" s="2" t="s">
        <v>4</v>
      </c>
      <c r="B2166" s="2" t="str">
        <f>IFERROR(__xludf.DUMMYFUNCTION("CONCAT(""&lt;"",GOOGLETRANSLATE(B2165,""en"",""ar""))"),"&lt;كمين")</f>
        <v>&lt;كمين</v>
      </c>
      <c r="C2166" s="2" t="str">
        <f>IFERROR(__xludf.DUMMYFUNCTION("CONCAT(""&lt;"",GOOGLETRANSLATE(C2165,""en"",""ar""))"),"&lt;جالس في الانتظار")</f>
        <v>&lt;جالس في الانتظار</v>
      </c>
    </row>
    <row r="2167" ht="15.75" customHeight="1">
      <c r="A2167" s="1" t="s">
        <v>2585</v>
      </c>
      <c r="B2167" s="2" t="s">
        <v>2586</v>
      </c>
      <c r="C2167" s="2"/>
    </row>
    <row r="2168" ht="15.75" customHeight="1">
      <c r="B2168" s="2" t="s">
        <v>2583</v>
      </c>
      <c r="C2168" s="2" t="s">
        <v>2583</v>
      </c>
    </row>
    <row r="2169" ht="15.75" customHeight="1">
      <c r="A2169" s="2" t="s">
        <v>4</v>
      </c>
      <c r="B2169" s="2" t="str">
        <f>IFERROR(__xludf.DUMMYFUNCTION("CONCAT(""&lt;"",GOOGLETRANSLATE(B2168,""en"",""ar""))"),"&lt;كمين")</f>
        <v>&lt;كمين</v>
      </c>
      <c r="C2169" s="2" t="str">
        <f>IFERROR(__xludf.DUMMYFUNCTION("CONCAT(""&lt;"",GOOGLETRANSLATE(C2168,""en"",""ar""))"),"&lt;كمين")</f>
        <v>&lt;كمين</v>
      </c>
    </row>
    <row r="2170" ht="15.75" customHeight="1">
      <c r="A2170" s="1" t="s">
        <v>2587</v>
      </c>
      <c r="B2170" s="2" t="s">
        <v>2588</v>
      </c>
      <c r="C2170" s="2"/>
    </row>
    <row r="2171" ht="15.75" customHeight="1">
      <c r="B2171" s="2" t="s">
        <v>2589</v>
      </c>
      <c r="C2171" s="2" t="s">
        <v>2589</v>
      </c>
    </row>
    <row r="2172" ht="15.75" customHeight="1">
      <c r="A2172" s="2" t="s">
        <v>4</v>
      </c>
      <c r="B2172" s="2" t="str">
        <f>IFERROR(__xludf.DUMMYFUNCTION("CONCAT(""&lt;"",GOOGLETRANSLATE(B2171,""en"",""ar""))"),"&lt;الجراد")</f>
        <v>&lt;الجراد</v>
      </c>
      <c r="C2172" s="2" t="str">
        <f>IFERROR(__xludf.DUMMYFUNCTION("CONCAT(""&lt;"",GOOGLETRANSLATE(C2171,""en"",""ar""))"),"&lt;الجراد")</f>
        <v>&lt;الجراد</v>
      </c>
    </row>
    <row r="2173" ht="15.75" customHeight="1">
      <c r="A2173" s="1" t="s">
        <v>2590</v>
      </c>
      <c r="B2173" s="2" t="s">
        <v>2591</v>
      </c>
      <c r="C2173" s="2"/>
    </row>
    <row r="2174" ht="15.75" customHeight="1">
      <c r="B2174" s="2" t="s">
        <v>2592</v>
      </c>
      <c r="C2174" s="2" t="s">
        <v>2593</v>
      </c>
    </row>
    <row r="2175" ht="15.75" customHeight="1">
      <c r="A2175" s="2" t="s">
        <v>4</v>
      </c>
      <c r="B2175" s="2" t="str">
        <f>IFERROR(__xludf.DUMMYFUNCTION("CONCAT(""&lt;"",GOOGLETRANSLATE(B2174,""en"",""ar""))"),"&lt;مهارة")</f>
        <v>&lt;مهارة</v>
      </c>
      <c r="C2175" s="2" t="str">
        <f>IFERROR(__xludf.DUMMYFUNCTION("CONCAT(""&lt;"",GOOGLETRANSLATE(C2174,""en"",""ar""))"),"&lt;احتيال؟ حبكة؟")</f>
        <v>&lt;احتيال؟ حبكة؟</v>
      </c>
    </row>
    <row r="2176" ht="15.75" customHeight="1">
      <c r="A2176" s="1" t="s">
        <v>2594</v>
      </c>
      <c r="B2176" s="2" t="s">
        <v>2595</v>
      </c>
      <c r="C2176" s="2"/>
    </row>
    <row r="2177" ht="15.75" customHeight="1">
      <c r="B2177" s="2" t="s">
        <v>2596</v>
      </c>
      <c r="C2177" s="2" t="s">
        <v>2597</v>
      </c>
    </row>
    <row r="2178" ht="15.75" customHeight="1">
      <c r="A2178" s="2" t="s">
        <v>4</v>
      </c>
      <c r="B2178" s="2" t="str">
        <f>IFERROR(__xludf.DUMMYFUNCTION("CONCAT(""&lt;"",GOOGLETRANSLATE(B2177,""en"",""ar""))"),"&lt;نافذة او شباك")</f>
        <v>&lt;نافذة او شباك</v>
      </c>
      <c r="C2178" s="2" t="str">
        <f>IFERROR(__xludf.DUMMYFUNCTION("CONCAT(""&lt;"",GOOGLETRANSLATE(C2177,""en"",""ar""))"),"&lt;فتح ، نافذة")</f>
        <v>&lt;فتح ، نافذة</v>
      </c>
    </row>
    <row r="2179" ht="15.75" customHeight="1">
      <c r="A2179" s="1" t="s">
        <v>2598</v>
      </c>
      <c r="B2179" s="2" t="s">
        <v>2599</v>
      </c>
      <c r="C2179" s="2"/>
    </row>
    <row r="2180" ht="15.75" customHeight="1">
      <c r="B2180" s="2" t="s">
        <v>2600</v>
      </c>
      <c r="C2180" s="2" t="s">
        <v>2601</v>
      </c>
    </row>
    <row r="2181" ht="15.75" customHeight="1">
      <c r="A2181" s="2" t="s">
        <v>4</v>
      </c>
      <c r="B2181" s="2" t="str">
        <f>IFERROR(__xludf.DUMMYFUNCTION("CONCAT(""&lt;"",GOOGLETRANSLATE(B2180,""en"",""ar""))"),"&lt;أروبوث")</f>
        <v>&lt;أروبوث</v>
      </c>
      <c r="C2181" s="2" t="str">
        <f>IFERROR(__xludf.DUMMYFUNCTION("CONCAT(""&lt;"",GOOGLETRANSLATE(C2180,""en"",""ar""))"),"&lt;Arubboth موقع؛ شارون")</f>
        <v>&lt;Arubboth موقع؛ شارون</v>
      </c>
    </row>
    <row r="2182" ht="15.75" customHeight="1">
      <c r="A2182" s="1" t="s">
        <v>2602</v>
      </c>
      <c r="B2182" s="2" t="s">
        <v>2603</v>
      </c>
      <c r="C2182" s="2"/>
    </row>
    <row r="2183" ht="15.75" customHeight="1">
      <c r="B2183" s="2" t="s">
        <v>2604</v>
      </c>
      <c r="C2183" s="2" t="s">
        <v>2605</v>
      </c>
    </row>
    <row r="2184" ht="15.75" customHeight="1">
      <c r="A2184" s="2" t="s">
        <v>4</v>
      </c>
      <c r="B2184" s="2" t="str">
        <f>IFERROR(__xludf.DUMMYFUNCTION("CONCAT(""&lt;"",GOOGLETRANSLATE(B2183,""en"",""ar""))"),"&lt;arbite")</f>
        <v>&lt;arbite</v>
      </c>
      <c r="C2184" s="2" t="str">
        <f>IFERROR(__xludf.DUMMYFUNCTION("CONCAT(""&lt;"",GOOGLETRANSLATE(C2183,""en"",""ar""))"),"&lt;arbite ساكن العرب")</f>
        <v>&lt;arbite ساكن العرب</v>
      </c>
    </row>
    <row r="2185" ht="15.75" customHeight="1">
      <c r="A2185" s="1" t="s">
        <v>2606</v>
      </c>
      <c r="B2185" s="2" t="s">
        <v>2607</v>
      </c>
      <c r="C2185" s="2"/>
    </row>
    <row r="2186" ht="15.75" customHeight="1">
      <c r="B2186" s="2" t="s">
        <v>2608</v>
      </c>
      <c r="C2186" s="2" t="s">
        <v>2609</v>
      </c>
    </row>
    <row r="2187" ht="15.75" customHeight="1">
      <c r="A2187" s="2" t="s">
        <v>4</v>
      </c>
      <c r="B2187" s="2" t="str">
        <f>IFERROR(__xludf.DUMMYFUNCTION("CONCAT(""&lt;"",GOOGLETRANSLATE(B2186,""en"",""ar""))"),"&lt;أربعة")</f>
        <v>&lt;أربعة</v>
      </c>
      <c r="C2187" s="2" t="str">
        <f>IFERROR(__xludf.DUMMYFUNCTION("CONCAT(""&lt;"",GOOGLETRANSLATE(C2186,""en"",""ar""))"),"&lt;(1 أ) رقم أربعة")</f>
        <v>&lt;(1 أ) رقم أربعة</v>
      </c>
    </row>
    <row r="2188" ht="15.75" customHeight="1">
      <c r="A2188" s="1" t="s">
        <v>2610</v>
      </c>
      <c r="B2188" s="2" t="s">
        <v>2607</v>
      </c>
      <c r="C2188" s="2"/>
    </row>
    <row r="2189" ht="15.75" customHeight="1">
      <c r="B2189" s="2" t="s">
        <v>2608</v>
      </c>
      <c r="C2189" s="2" t="s">
        <v>2609</v>
      </c>
    </row>
    <row r="2190" ht="15.75" customHeight="1">
      <c r="A2190" s="2" t="s">
        <v>4</v>
      </c>
      <c r="B2190" s="2" t="str">
        <f>IFERROR(__xludf.DUMMYFUNCTION("CONCAT(""&lt;"",GOOGLETRANSLATE(B2189,""en"",""ar""))"),"&lt;أربعة")</f>
        <v>&lt;أربعة</v>
      </c>
      <c r="C2190" s="2" t="str">
        <f>IFERROR(__xludf.DUMMYFUNCTION("CONCAT(""&lt;"",GOOGLETRANSLATE(C2189,""en"",""ar""))"),"&lt;(1 أ) رقم أربعة")</f>
        <v>&lt;(1 أ) رقم أربعة</v>
      </c>
    </row>
    <row r="2191" ht="15.75" customHeight="1">
      <c r="A2191" s="1" t="s">
        <v>2611</v>
      </c>
      <c r="B2191" s="2" t="s">
        <v>2612</v>
      </c>
      <c r="C2191" s="2"/>
    </row>
    <row r="2192" ht="15.75" customHeight="1">
      <c r="B2192" s="2" t="s">
        <v>2613</v>
      </c>
      <c r="C2192" s="2" t="s">
        <v>2614</v>
      </c>
    </row>
    <row r="2193" ht="15.75" customHeight="1">
      <c r="A2193" s="2" t="s">
        <v>4</v>
      </c>
      <c r="B2193" s="2" t="str">
        <f>IFERROR(__xludf.DUMMYFUNCTION("CONCAT(""&lt;"",GOOGLETRANSLATE(B2192,""en"",""ar""))"),"&lt;اربا")</f>
        <v>&lt;اربا</v>
      </c>
      <c r="C2193" s="2" t="str">
        <f>IFERROR(__xludf.DUMMYFUNCTION("CONCAT(""&lt;"",GOOGLETRANSLATE(C2192,""en"",""ar""))"),"&lt;(2) اربا ؛ والد أناك ، سلف عرق العمالقة")</f>
        <v>&lt;(2) اربا ؛ والد أناك ، سلف عرق العمالقة</v>
      </c>
    </row>
    <row r="2194" ht="15.75" customHeight="1">
      <c r="A2194" s="1" t="s">
        <v>2615</v>
      </c>
      <c r="B2194" s="2" t="s">
        <v>2616</v>
      </c>
      <c r="C2194" s="2"/>
    </row>
    <row r="2195" ht="15.75" customHeight="1">
      <c r="B2195" s="2" t="s">
        <v>2617</v>
      </c>
      <c r="C2195" s="2" t="s">
        <v>2618</v>
      </c>
    </row>
    <row r="2196" ht="15.75" customHeight="1">
      <c r="A2196" s="2" t="s">
        <v>4</v>
      </c>
      <c r="B2196" s="2" t="str">
        <f>IFERROR(__xludf.DUMMYFUNCTION("CONCAT(""&lt;"",GOOGLETRANSLATE(B2195,""en"",""ar""))"),"&lt;أربعين")</f>
        <v>&lt;أربعين</v>
      </c>
      <c r="C2196" s="2" t="str">
        <f>IFERROR(__xludf.DUMMYFUNCTION("CONCAT(""&lt;"",GOOGLETRANSLATE(C2195,""en"",""ar""))"),"&lt;(1 ب) الجمع العدد أربعين")</f>
        <v>&lt;(1 ب) الجمع العدد أربعين</v>
      </c>
    </row>
    <row r="2197" ht="15.75" customHeight="1">
      <c r="A2197" s="1" t="s">
        <v>2619</v>
      </c>
      <c r="B2197" s="2" t="s">
        <v>2620</v>
      </c>
      <c r="C2197" s="2"/>
    </row>
    <row r="2198" ht="15.75" customHeight="1">
      <c r="B2198" s="2" t="s">
        <v>2621</v>
      </c>
    </row>
    <row r="2199" ht="15.75" customHeight="1">
      <c r="A2199" s="2" t="s">
        <v>4</v>
      </c>
      <c r="B2199" s="2" t="str">
        <f>IFERROR(__xludf.DUMMYFUNCTION("CONCAT(""&lt;"",GOOGLETRANSLATE(B2198,""en"",""ar""))"),"&lt;أربعة أضعاف")</f>
        <v>&lt;أربعة أضعاف</v>
      </c>
      <c r="C2199" s="2"/>
    </row>
    <row r="2200" ht="15.75" customHeight="1">
      <c r="A2200" s="1" t="s">
        <v>2622</v>
      </c>
      <c r="B2200" s="2" t="s">
        <v>2623</v>
      </c>
      <c r="C2200" s="2"/>
    </row>
    <row r="2201" ht="15.75" customHeight="1">
      <c r="B2201" s="2" t="s">
        <v>2624</v>
      </c>
      <c r="C2201" s="2" t="s">
        <v>2625</v>
      </c>
    </row>
    <row r="2202" ht="15.75" customHeight="1">
      <c r="A2202" s="2" t="s">
        <v>4</v>
      </c>
      <c r="B2202" s="2" t="str">
        <f>IFERROR(__xludf.DUMMYFUNCTION("CONCAT(""&lt;"",GOOGLETRANSLATE(B2201,""en"",""ar""))"),"&lt;لنسج")</f>
        <v>&lt;لنسج</v>
      </c>
      <c r="C2202" s="2" t="str">
        <f>IFERROR(__xludf.DUMMYFUNCTION("CONCAT(""&lt;"",GOOGLETRANSLATE(C2201,""en"",""ar""))"),"&lt;سال لنسج")</f>
        <v>&lt;سال لنسج</v>
      </c>
    </row>
    <row r="2203" ht="15.75" customHeight="1">
      <c r="A2203" s="1" t="s">
        <v>2626</v>
      </c>
      <c r="B2203" s="2" t="s">
        <v>2627</v>
      </c>
      <c r="C2203" s="2"/>
    </row>
    <row r="2204" ht="15.75" customHeight="1">
      <c r="B2204" s="2" t="s">
        <v>2628</v>
      </c>
      <c r="C2204" s="2" t="s">
        <v>2629</v>
      </c>
    </row>
    <row r="2205" ht="15.75" customHeight="1">
      <c r="A2205" s="2" t="s">
        <v>4</v>
      </c>
      <c r="B2205" s="2" t="str">
        <f>IFERROR(__xludf.DUMMYFUNCTION("CONCAT(""&lt;"",GOOGLETRANSLATE(B2204,""en"",""ar""))"),"&lt;خدمة النقل")</f>
        <v>&lt;خدمة النقل</v>
      </c>
      <c r="C2205" s="2" t="str">
        <f>IFERROR(__xludf.DUMMYFUNCTION("CONCAT(""&lt;"",GOOGLETRANSLATE(C2204,""en"",""ar""))"),"&lt;مكوك ويفر")</f>
        <v>&lt;مكوك ويفر</v>
      </c>
    </row>
    <row r="2206" ht="15.75" customHeight="1">
      <c r="A2206" s="1" t="s">
        <v>2630</v>
      </c>
      <c r="B2206" s="2" t="s">
        <v>2631</v>
      </c>
      <c r="C2206" s="2"/>
    </row>
    <row r="2207" ht="15.75" customHeight="1">
      <c r="B2207" s="2" t="s">
        <v>2632</v>
      </c>
      <c r="C2207" s="2" t="s">
        <v>2633</v>
      </c>
    </row>
    <row r="2208" ht="15.75" customHeight="1">
      <c r="A2208" s="2" t="s">
        <v>4</v>
      </c>
      <c r="B2208" s="2" t="str">
        <f>IFERROR(__xludf.DUMMYFUNCTION("CONCAT(""&lt;"",GOOGLETRANSLATE(B2207,""en"",""ar""))"),"&lt;أرجوب")</f>
        <v>&lt;أرجوب</v>
      </c>
      <c r="C2208" s="2" t="str">
        <f>IFERROR(__xludf.DUMMYFUNCTION("CONCAT(""&lt;"",GOOGLETRANSLATE(C2207,""en"",""ar""))"),"&lt;(أ) أرجوب ؛ منطقة؛ باشان (ب) أرجوب ؛ رجل؟")</f>
        <v>&lt;(أ) أرجوب ؛ منطقة؛ باشان (ب) أرجوب ؛ رجل؟</v>
      </c>
    </row>
    <row r="2209" ht="15.75" customHeight="1">
      <c r="A2209" s="1" t="s">
        <v>2634</v>
      </c>
      <c r="B2209" s="2" t="s">
        <v>2635</v>
      </c>
      <c r="C2209" s="2"/>
    </row>
    <row r="2210" ht="15.75" customHeight="1">
      <c r="B2210" s="2" t="s">
        <v>2636</v>
      </c>
      <c r="C2210" s="2" t="s">
        <v>2637</v>
      </c>
    </row>
    <row r="2211" ht="15.75" customHeight="1">
      <c r="A2211" s="2" t="s">
        <v>4</v>
      </c>
      <c r="B2211" s="2" t="str">
        <f>IFERROR(__xludf.DUMMYFUNCTION("CONCAT(""&lt;"",GOOGLETRANSLATE(B2210,""en"",""ar""))"),"&lt;أرجواني")</f>
        <v>&lt;أرجواني</v>
      </c>
      <c r="C2211" s="2" t="str">
        <f>IFERROR(__xludf.DUMMYFUNCTION("CONCAT(""&lt;"",GOOGLETRANSLATE(C2210,""en"",""ar""))"),"&lt;صوف مصبوغ بالأرجواني الأحمر")</f>
        <v>&lt;صوف مصبوغ بالأرجواني الأحمر</v>
      </c>
    </row>
    <row r="2212" ht="15.75" customHeight="1">
      <c r="A2212" s="1" t="s">
        <v>2638</v>
      </c>
      <c r="B2212" s="2" t="s">
        <v>2639</v>
      </c>
      <c r="C2212" s="2"/>
    </row>
    <row r="2213" ht="15.75" customHeight="1">
      <c r="B2213" s="2" t="s">
        <v>2636</v>
      </c>
      <c r="C2213" s="2" t="s">
        <v>2637</v>
      </c>
    </row>
    <row r="2214" ht="15.75" customHeight="1">
      <c r="A2214" s="2" t="s">
        <v>4</v>
      </c>
      <c r="B2214" s="2" t="str">
        <f>IFERROR(__xludf.DUMMYFUNCTION("CONCAT(""&lt;"",GOOGLETRANSLATE(B2213,""en"",""ar""))"),"&lt;أرجواني")</f>
        <v>&lt;أرجواني</v>
      </c>
      <c r="C2214" s="2" t="str">
        <f>IFERROR(__xludf.DUMMYFUNCTION("CONCAT(""&lt;"",GOOGLETRANSLATE(C2213,""en"",""ar""))"),"&lt;صوف مصبوغ بالأرجواني الأحمر")</f>
        <v>&lt;صوف مصبوغ بالأرجواني الأحمر</v>
      </c>
    </row>
    <row r="2215" ht="15.75" customHeight="1">
      <c r="A2215" s="1" t="s">
        <v>2640</v>
      </c>
      <c r="B2215" s="2" t="s">
        <v>2641</v>
      </c>
      <c r="C2215" s="2"/>
    </row>
    <row r="2216" ht="15.75" customHeight="1">
      <c r="B2216" s="2" t="s">
        <v>2642</v>
      </c>
      <c r="C2216" s="2" t="s">
        <v>2643</v>
      </c>
    </row>
    <row r="2217" ht="15.75" customHeight="1">
      <c r="A2217" s="2" t="s">
        <v>4</v>
      </c>
      <c r="B2217" s="2" t="str">
        <f>IFERROR(__xludf.DUMMYFUNCTION("CONCAT(""&lt;"",GOOGLETRANSLATE(B2216,""en"",""ar""))"),"&lt;صندوق")</f>
        <v>&lt;صندوق</v>
      </c>
      <c r="C2217" s="2" t="str">
        <f>IFERROR(__xludf.DUMMYFUNCTION("CONCAT(""&lt;"",GOOGLETRANSLATE(C2216,""en"",""ar""))"),"&lt;الصدر ، معلقة على جانب مركبة")</f>
        <v>&lt;الصدر ، معلقة على جانب مركبة</v>
      </c>
    </row>
    <row r="2218" ht="15.75" customHeight="1">
      <c r="A2218" s="1" t="s">
        <v>2644</v>
      </c>
      <c r="B2218" s="2" t="s">
        <v>2639</v>
      </c>
      <c r="C2218" s="2"/>
    </row>
    <row r="2219" ht="15.75" customHeight="1">
      <c r="B2219" s="2" t="s">
        <v>2636</v>
      </c>
      <c r="C2219" s="2" t="s">
        <v>2637</v>
      </c>
    </row>
    <row r="2220" ht="15.75" customHeight="1">
      <c r="A2220" s="2" t="s">
        <v>4</v>
      </c>
      <c r="B2220" s="2" t="str">
        <f>IFERROR(__xludf.DUMMYFUNCTION("CONCAT(""&lt;"",GOOGLETRANSLATE(B2219,""en"",""ar""))"),"&lt;أرجواني")</f>
        <v>&lt;أرجواني</v>
      </c>
      <c r="C2220" s="2" t="str">
        <f>IFERROR(__xludf.DUMMYFUNCTION("CONCAT(""&lt;"",GOOGLETRANSLATE(C2219,""en"",""ar""))"),"&lt;صوف مصبوغ بالأرجواني الأحمر")</f>
        <v>&lt;صوف مصبوغ بالأرجواني الأحمر</v>
      </c>
    </row>
    <row r="2221" ht="15.75" customHeight="1">
      <c r="A2221" s="1" t="s">
        <v>2645</v>
      </c>
      <c r="B2221" s="2" t="s">
        <v>2646</v>
      </c>
      <c r="C2221" s="2"/>
    </row>
    <row r="2222" ht="15.75" customHeight="1">
      <c r="B2222" s="2" t="s">
        <v>2647</v>
      </c>
      <c r="C2222" s="2" t="s">
        <v>2648</v>
      </c>
    </row>
    <row r="2223" ht="15.75" customHeight="1">
      <c r="A2223" s="2" t="s">
        <v>4</v>
      </c>
      <c r="B2223" s="2" t="str">
        <f>IFERROR(__xludf.DUMMYFUNCTION("CONCAT(""&lt;"",GOOGLETRANSLATE(B2222,""en"",""ar""))"),"&lt;ARD")</f>
        <v>&lt;ARD</v>
      </c>
      <c r="C2223" s="2" t="str">
        <f>IFERROR(__xludf.DUMMYFUNCTION("CONCAT(""&lt;"",GOOGLETRANSLATE(C2222,""en"",""ar""))"),"&lt;אַדָּר   Ard; ابن (بيلا ، ابن) بنيامين")</f>
        <v>&lt;אַדָּר   Ard; ابن (بيلا ، ابن) بنيامين</v>
      </c>
    </row>
    <row r="2224" ht="15.75" customHeight="1">
      <c r="A2224" s="1" t="s">
        <v>2649</v>
      </c>
      <c r="B2224" s="2" t="s">
        <v>2650</v>
      </c>
      <c r="C2224" s="2"/>
    </row>
    <row r="2225" ht="15.75" customHeight="1">
      <c r="B2225" s="2" t="s">
        <v>2651</v>
      </c>
      <c r="C2225" s="2" t="s">
        <v>2652</v>
      </c>
    </row>
    <row r="2226" ht="15.75" customHeight="1">
      <c r="A2226" s="2" t="s">
        <v>4</v>
      </c>
      <c r="B2226" s="2" t="str">
        <f>IFERROR(__xludf.DUMMYFUNCTION("CONCAT(""&lt;"",GOOGLETRANSLATE(B2225,""en"",""ar""))"),"&lt;أردون")</f>
        <v>&lt;أردون</v>
      </c>
      <c r="C2226" s="2" t="str">
        <f>IFERROR(__xludf.DUMMYFUNCTION("CONCAT(""&lt;"",GOOGLETRANSLATE(C2225,""en"",""ar""))"),"&lt;أردون ؛ ابن كالب قبيلة يهوذا")</f>
        <v>&lt;أردون ؛ ابن كالب قبيلة يهوذا</v>
      </c>
    </row>
    <row r="2227" ht="15.75" customHeight="1">
      <c r="A2227" s="1" t="s">
        <v>2653</v>
      </c>
      <c r="B2227" s="2" t="s">
        <v>2654</v>
      </c>
      <c r="C2227" s="2"/>
    </row>
    <row r="2228" ht="15.75" customHeight="1">
      <c r="B2228" s="2" t="s">
        <v>2655</v>
      </c>
      <c r="C2228" s="2" t="s">
        <v>2656</v>
      </c>
    </row>
    <row r="2229" ht="15.75" customHeight="1">
      <c r="A2229" s="2" t="s">
        <v>4</v>
      </c>
      <c r="B2229" s="2" t="str">
        <f>IFERROR(__xludf.DUMMYFUNCTION("CONCAT(""&lt;"",GOOGLETRANSLATE(B2228,""en"",""ar""))"),"&lt;أرديت")</f>
        <v>&lt;أرديت</v>
      </c>
      <c r="C2229" s="2" t="str">
        <f>IFERROR(__xludf.DUMMYFUNCTION("CONCAT(""&lt;"",GOOGLETRANSLATE(C2228,""en"",""ar""))"),"&lt;أرديت نسل Ard ، ابن بنيامين")</f>
        <v>&lt;أرديت نسل Ard ، ابن بنيامين</v>
      </c>
    </row>
    <row r="2230" ht="15.75" customHeight="1">
      <c r="A2230" s="1" t="s">
        <v>2657</v>
      </c>
      <c r="B2230" s="2" t="s">
        <v>2658</v>
      </c>
      <c r="C2230" s="2"/>
    </row>
    <row r="2231" ht="15.75" customHeight="1">
      <c r="B2231" s="2" t="s">
        <v>2659</v>
      </c>
      <c r="C2231" s="2" t="s">
        <v>2660</v>
      </c>
    </row>
    <row r="2232" ht="15.75" customHeight="1">
      <c r="A2232" s="2" t="s">
        <v>4</v>
      </c>
      <c r="B2232" s="2" t="str">
        <f>IFERROR(__xludf.DUMMYFUNCTION("CONCAT(""&lt;"",GOOGLETRANSLATE(B2231,""en"",""ar""))"),"&lt;نتف")</f>
        <v>&lt;نتف</v>
      </c>
      <c r="C2232" s="2" t="str">
        <f>IFERROR(__xludf.DUMMYFUNCTION("CONCAT(""&lt;"",GOOGLETRANSLATE(C2231,""en"",""ar""))"),"&lt;QAL لتفتت")</f>
        <v>&lt;QAL لتفتت</v>
      </c>
    </row>
    <row r="2233" ht="15.75" customHeight="1">
      <c r="A2233" s="1" t="s">
        <v>2661</v>
      </c>
      <c r="B2233" s="2" t="s">
        <v>2662</v>
      </c>
      <c r="C2233" s="2"/>
    </row>
    <row r="2234" ht="15.75" customHeight="1">
      <c r="B2234" s="2" t="s">
        <v>2663</v>
      </c>
    </row>
    <row r="2235" ht="15.75" customHeight="1">
      <c r="A2235" s="2" t="s">
        <v>4</v>
      </c>
      <c r="B2235" s="2" t="str">
        <f>IFERROR(__xludf.DUMMYFUNCTION("CONCAT(""&lt;"",GOOGLETRANSLATE(B2234,""en"",""ar""))"),"&lt;ها!")</f>
        <v>&lt;ها!</v>
      </c>
      <c r="C2235" s="2"/>
    </row>
    <row r="2236" ht="15.75" customHeight="1">
      <c r="A2236" s="1" t="s">
        <v>2664</v>
      </c>
      <c r="B2236" s="2" t="s">
        <v>2665</v>
      </c>
      <c r="C2236" s="2"/>
    </row>
    <row r="2237" ht="15.75" customHeight="1">
      <c r="B2237" s="2" t="s">
        <v>2666</v>
      </c>
      <c r="C2237" s="2" t="s">
        <v>2667</v>
      </c>
    </row>
    <row r="2238" ht="15.75" customHeight="1">
      <c r="A2238" s="2" t="s">
        <v>4</v>
      </c>
      <c r="B2238" s="2" t="str">
        <f>IFERROR(__xludf.DUMMYFUNCTION("CONCAT(""&lt;"",GOOGLETRANSLATE(B2237,""en"",""ar""))"),"&lt;أرفاد")</f>
        <v>&lt;أرفاد</v>
      </c>
      <c r="C2238" s="2" t="str">
        <f>IFERROR(__xludf.DUMMYFUNCTION("CONCAT(""&lt;"",GOOGLETRANSLATE(C2237,""en"",""ar""))"),"&lt;أرفاد بلدة في فينيسيا")</f>
        <v>&lt;أرفاد بلدة في فينيسيا</v>
      </c>
    </row>
    <row r="2239" ht="15.75" customHeight="1">
      <c r="A2239" s="1" t="s">
        <v>2668</v>
      </c>
      <c r="B2239" s="2" t="s">
        <v>2669</v>
      </c>
      <c r="C2239" s="2"/>
    </row>
    <row r="2240" ht="15.75" customHeight="1">
      <c r="B2240" s="2" t="s">
        <v>2670</v>
      </c>
      <c r="C2240" s="2" t="s">
        <v>2671</v>
      </c>
    </row>
    <row r="2241" ht="15.75" customHeight="1">
      <c r="A2241" s="2" t="s">
        <v>4</v>
      </c>
      <c r="B2241" s="2" t="str">
        <f>IFERROR(__xludf.DUMMYFUNCTION("CONCAT(""&lt;"",GOOGLETRANSLATE(B2240,""en"",""ar""))"),"&lt;أرود")</f>
        <v>&lt;أرود</v>
      </c>
      <c r="C2241" s="2" t="str">
        <f>IFERROR(__xludf.DUMMYFUNCTION("CONCAT(""&lt;"",GOOGLETRANSLATE(C2240,""en"",""ar""))"),"&lt;אֲרוֹדִי   Arod; ابن جاد")</f>
        <v>&lt;אֲרוֹדִי   Arod; ابن جاد</v>
      </c>
    </row>
    <row r="2242" ht="15.75" customHeight="1">
      <c r="A2242" s="1" t="s">
        <v>2672</v>
      </c>
      <c r="B2242" s="2" t="s">
        <v>2673</v>
      </c>
      <c r="C2242" s="2"/>
    </row>
    <row r="2243" ht="15.75" customHeight="1">
      <c r="B2243" s="2" t="s">
        <v>2674</v>
      </c>
      <c r="C2243" s="2" t="s">
        <v>2675</v>
      </c>
    </row>
    <row r="2244" ht="15.75" customHeight="1">
      <c r="A2244" s="2" t="s">
        <v>4</v>
      </c>
      <c r="B2244" s="2" t="str">
        <f>IFERROR(__xludf.DUMMYFUNCTION("CONCAT(""&lt;"",GOOGLETRANSLATE(B2243,""en"",""ar""))"),"&lt;Arvadite")</f>
        <v>&lt;Arvadite</v>
      </c>
      <c r="C2244" s="2" t="str">
        <f>IFERROR(__xludf.DUMMYFUNCTION("CONCAT(""&lt;"",GOOGLETRANSLATE(C2243,""en"",""ar""))"),"&lt;Arvadite ساكن ARVAD. سليل كنعان")</f>
        <v>&lt;Arvadite ساكن ARVAD. سليل كنعان</v>
      </c>
    </row>
    <row r="2245" ht="15.75" customHeight="1">
      <c r="A2245" s="1" t="s">
        <v>2676</v>
      </c>
      <c r="B2245" s="2" t="s">
        <v>2677</v>
      </c>
      <c r="C2245" s="2"/>
    </row>
    <row r="2246" ht="15.75" customHeight="1">
      <c r="B2246" s="2" t="s">
        <v>2678</v>
      </c>
      <c r="C2246" s="2" t="s">
        <v>2679</v>
      </c>
    </row>
    <row r="2247" ht="15.75" customHeight="1">
      <c r="A2247" s="2" t="s">
        <v>4</v>
      </c>
      <c r="B2247" s="2" t="str">
        <f>IFERROR(__xludf.DUMMYFUNCTION("CONCAT(""&lt;"",GOOGLETRANSLATE(B2246,""en"",""ar""))"),"&lt;أرودي")</f>
        <v>&lt;أرودي</v>
      </c>
      <c r="C2247" s="2" t="str">
        <f>IFERROR(__xludf.DUMMYFUNCTION("CONCAT(""&lt;"",GOOGLETRANSLATE(C2246,""en"",""ar""))"),"&lt;(a) אֲרוֹד   Arodi; ابن جاد (ب) أرودي ؛ سليل أرود ، أرودي")</f>
        <v>&lt;(a) אֲרוֹד   Arodi; ابن جاد (ب) أرودي ؛ سليل أرود ، أرودي</v>
      </c>
    </row>
    <row r="2248" ht="15.75" customHeight="1">
      <c r="A2248" s="1" t="s">
        <v>2680</v>
      </c>
      <c r="B2248" s="2" t="s">
        <v>2681</v>
      </c>
      <c r="C2248" s="2"/>
    </row>
    <row r="2249" ht="15.75" customHeight="1">
      <c r="B2249" s="2" t="s">
        <v>844</v>
      </c>
      <c r="C2249" s="2" t="s">
        <v>2682</v>
      </c>
    </row>
    <row r="2250" ht="15.75" customHeight="1">
      <c r="A2250" s="2" t="s">
        <v>4</v>
      </c>
      <c r="B2250" s="2" t="str">
        <f>IFERROR(__xludf.DUMMYFUNCTION("CONCAT(""&lt;"",GOOGLETRANSLATE(B2249,""en"",""ar""))"),"&lt;المماطلة")</f>
        <v>&lt;المماطلة</v>
      </c>
      <c r="C2250" s="2" t="str">
        <f>IFERROR(__xludf.DUMMYFUNCTION("CONCAT(""&lt;"",GOOGLETRANSLATE(C2249,""en"",""ar""))"),"&lt;كشك ، مستقر")</f>
        <v>&lt;كشك ، مستقر</v>
      </c>
    </row>
    <row r="2251" ht="15.75" customHeight="1">
      <c r="A2251" s="1" t="s">
        <v>2683</v>
      </c>
      <c r="B2251" s="2" t="s">
        <v>2684</v>
      </c>
      <c r="C2251" s="2"/>
    </row>
    <row r="2252" ht="15.75" customHeight="1">
      <c r="B2252" s="2" t="s">
        <v>2685</v>
      </c>
      <c r="C2252" s="2" t="s">
        <v>2686</v>
      </c>
    </row>
    <row r="2253" ht="15.75" customHeight="1">
      <c r="A2253" s="2" t="s">
        <v>4</v>
      </c>
      <c r="B2253" s="2" t="str">
        <f>IFERROR(__xludf.DUMMYFUNCTION("CONCAT(""&lt;"",GOOGLETRANSLATE(B2252,""en"",""ar""))"),"&lt;صحة")</f>
        <v>&lt;صحة</v>
      </c>
      <c r="C2253" s="2" t="str">
        <f>IFERROR(__xludf.DUMMYFUNCTION("CONCAT(""&lt;"",GOOGLETRANSLATE(C2252,""en"",""ar""))"),"&lt;شفاء")</f>
        <v>&lt;شفاء</v>
      </c>
    </row>
    <row r="2254" ht="15.75" customHeight="1">
      <c r="A2254" s="1" t="s">
        <v>2687</v>
      </c>
      <c r="B2254" s="2" t="s">
        <v>2688</v>
      </c>
      <c r="C2254" s="2"/>
    </row>
    <row r="2255" ht="15.75" customHeight="1">
      <c r="B2255" s="2" t="s">
        <v>2689</v>
      </c>
      <c r="C2255" s="2" t="s">
        <v>2690</v>
      </c>
    </row>
    <row r="2256" ht="15.75" customHeight="1">
      <c r="A2256" s="2" t="s">
        <v>4</v>
      </c>
      <c r="B2256" s="2" t="str">
        <f>IFERROR(__xludf.DUMMYFUNCTION("CONCAT(""&lt;"",GOOGLETRANSLATE(B2255,""en"",""ar""))"),"&lt;أروما")</f>
        <v>&lt;أروما</v>
      </c>
      <c r="C2256" s="2" t="str">
        <f>IFERROR(__xludf.DUMMYFUNCTION("CONCAT(""&lt;"",GOOGLETRANSLATE(C2255,""en"",""ar""))"),"&lt;أروما موقع؛ أراضي إفرايم")</f>
        <v>&lt;أروما موقع؛ أراضي إفرايم</v>
      </c>
    </row>
    <row r="2257" ht="15.75" customHeight="1">
      <c r="A2257" s="1" t="s">
        <v>2691</v>
      </c>
      <c r="B2257" s="2" t="s">
        <v>2692</v>
      </c>
      <c r="C2257" s="2"/>
    </row>
    <row r="2258" ht="15.75" customHeight="1">
      <c r="B2258" s="2" t="s">
        <v>2693</v>
      </c>
      <c r="C2258" s="2" t="s">
        <v>2693</v>
      </c>
    </row>
    <row r="2259" ht="15.75" customHeight="1">
      <c r="A2259" s="2" t="s">
        <v>4</v>
      </c>
      <c r="B2259" s="2" t="str">
        <f>IFERROR(__xludf.DUMMYFUNCTION("CONCAT(""&lt;"",GOOGLETRANSLATE(B2258,""en"",""ar""))"),"&lt;السوري")</f>
        <v>&lt;السوري</v>
      </c>
      <c r="C2259" s="2" t="str">
        <f>IFERROR(__xludf.DUMMYFUNCTION("CONCAT(""&lt;"",GOOGLETRANSLATE(C2258,""en"",""ar""))"),"&lt;السوري")</f>
        <v>&lt;السوري</v>
      </c>
    </row>
    <row r="2260" ht="15.75" customHeight="1">
      <c r="A2260" s="1" t="s">
        <v>2694</v>
      </c>
      <c r="B2260" s="2" t="s">
        <v>2695</v>
      </c>
      <c r="C2260" s="2"/>
    </row>
    <row r="2261" ht="15.75" customHeight="1">
      <c r="B2261" s="2" t="s">
        <v>2696</v>
      </c>
      <c r="C2261" s="2" t="s">
        <v>2697</v>
      </c>
    </row>
    <row r="2262" ht="15.75" customHeight="1">
      <c r="A2262" s="2" t="s">
        <v>4</v>
      </c>
      <c r="B2262" s="2" t="str">
        <f>IFERROR(__xludf.DUMMYFUNCTION("CONCAT(""&lt;"",GOOGLETRANSLATE(B2261,""en"",""ar""))"),"&lt;فلك")</f>
        <v>&lt;فلك</v>
      </c>
      <c r="C2262" s="2" t="str">
        <f>IFERROR(__xludf.DUMMYFUNCTION("CONCAT(""&lt;"",GOOGLETRANSLATE(C2261,""en"",""ar""))"),"&lt;(تابوت؛ (ب) تابوت (من الشهادة ، العهد) ؛ (ج) الصدر الخشبي")</f>
        <v>&lt;(تابوت؛ (ب) تابوت (من الشهادة ، العهد) ؛ (ج) الصدر الخشبي</v>
      </c>
    </row>
    <row r="2263" ht="15.75" customHeight="1">
      <c r="A2263" s="1" t="s">
        <v>2698</v>
      </c>
      <c r="B2263" s="2" t="s">
        <v>2699</v>
      </c>
      <c r="C2263" s="2"/>
    </row>
    <row r="2264" ht="15.75" customHeight="1">
      <c r="B2264" s="2" t="s">
        <v>2700</v>
      </c>
      <c r="C2264" s="2" t="s">
        <v>2701</v>
      </c>
    </row>
    <row r="2265" ht="15.75" customHeight="1">
      <c r="A2265" s="2" t="s">
        <v>4</v>
      </c>
      <c r="B2265" s="2" t="str">
        <f>IFERROR(__xludf.DUMMYFUNCTION("CONCAT(""&lt;"",GOOGLETRANSLATE(B2264,""en"",""ar""))"),"&lt;أراون")</f>
        <v>&lt;أراون</v>
      </c>
      <c r="C2265" s="2" t="str">
        <f>IFERROR(__xludf.DUMMYFUNCTION("CONCAT(""&lt;"",GOOGLETRANSLATE(C2264,""en"",""ar""))"),"&lt;أرونه جبوسيت")</f>
        <v>&lt;أرونه جبوسيت</v>
      </c>
    </row>
    <row r="2266" ht="15.75" customHeight="1">
      <c r="A2266" s="1" t="s">
        <v>2702</v>
      </c>
      <c r="B2266" s="2" t="s">
        <v>2703</v>
      </c>
      <c r="C2266" s="2"/>
    </row>
    <row r="2267" ht="15.75" customHeight="1">
      <c r="B2267" s="2" t="s">
        <v>2704</v>
      </c>
      <c r="C2267" s="2" t="s">
        <v>2705</v>
      </c>
    </row>
    <row r="2268" ht="15.75" customHeight="1">
      <c r="A2268" s="2" t="s">
        <v>4</v>
      </c>
      <c r="B2268" s="2" t="str">
        <f>IFERROR(__xludf.DUMMYFUNCTION("CONCAT(""&lt;"",GOOGLETRANSLATE(B2267,""en"",""ar""))"),"&lt;معزز")</f>
        <v>&lt;معزز</v>
      </c>
      <c r="C2268" s="2" t="str">
        <f>IFERROR(__xludf.DUMMYFUNCTION("CONCAT(""&lt;"",GOOGLETRANSLATE(C2267,""en"",""ar""))"),"&lt;(الحبال) بإحكام (ملتوية أو معقدة)")</f>
        <v>&lt;(الحبال) بإحكام (ملتوية أو معقدة)</v>
      </c>
    </row>
    <row r="2269" ht="15.75" customHeight="1">
      <c r="A2269" s="1" t="s">
        <v>2706</v>
      </c>
      <c r="B2269" s="2" t="s">
        <v>2707</v>
      </c>
      <c r="C2269" s="2"/>
    </row>
    <row r="2270" ht="15.75" customHeight="1">
      <c r="B2270" s="2" t="s">
        <v>2708</v>
      </c>
      <c r="C2270" s="2" t="s">
        <v>2709</v>
      </c>
    </row>
    <row r="2271" ht="15.75" customHeight="1">
      <c r="A2271" s="2" t="s">
        <v>4</v>
      </c>
      <c r="B2271" s="2" t="str">
        <f>IFERROR(__xludf.DUMMYFUNCTION("CONCAT(""&lt;"",GOOGLETRANSLATE(B2270,""en"",""ar""))"),"&lt;الأرز")</f>
        <v>&lt;الأرز</v>
      </c>
      <c r="C2271" s="2" t="str">
        <f>IFERROR(__xludf.DUMMYFUNCTION("CONCAT(""&lt;"",GOOGLETRANSLATE(C2270,""en"",""ar""))"),"&lt;شجرة الأرز")</f>
        <v>&lt;شجرة الأرز</v>
      </c>
    </row>
    <row r="2272" ht="15.75" customHeight="1">
      <c r="A2272" s="1" t="s">
        <v>2710</v>
      </c>
      <c r="B2272" s="2" t="s">
        <v>2711</v>
      </c>
      <c r="C2272" s="2"/>
    </row>
    <row r="2273" ht="15.75" customHeight="1">
      <c r="B2273" s="2" t="s">
        <v>2708</v>
      </c>
      <c r="C2273" s="2" t="s">
        <v>2712</v>
      </c>
    </row>
    <row r="2274" ht="15.75" customHeight="1">
      <c r="A2274" s="2" t="s">
        <v>4</v>
      </c>
      <c r="B2274" s="2" t="str">
        <f>IFERROR(__xludf.DUMMYFUNCTION("CONCAT(""&lt;"",GOOGLETRANSLATE(B2273,""en"",""ar""))"),"&lt;الأرز")</f>
        <v>&lt;الأرز</v>
      </c>
      <c r="C2274" s="2" t="str">
        <f>IFERROR(__xludf.DUMMYFUNCTION("CONCAT(""&lt;"",GOOGLETRANSLATE(C2273,""en"",""ar""))"),"&lt;خشب الأرز")</f>
        <v>&lt;خشب الأرز</v>
      </c>
    </row>
    <row r="2275" ht="15.75" customHeight="1">
      <c r="A2275" s="1" t="s">
        <v>2713</v>
      </c>
      <c r="B2275" s="2" t="s">
        <v>2714</v>
      </c>
      <c r="C2275" s="2"/>
    </row>
    <row r="2276" ht="15.75" customHeight="1">
      <c r="B2276" s="2" t="s">
        <v>2715</v>
      </c>
      <c r="C2276" s="2" t="s">
        <v>2716</v>
      </c>
    </row>
    <row r="2277" ht="15.75" customHeight="1">
      <c r="A2277" s="2" t="s">
        <v>4</v>
      </c>
      <c r="B2277" s="2" t="str">
        <f>IFERROR(__xludf.DUMMYFUNCTION("CONCAT(""&lt;"",GOOGLETRANSLATE(B2276,""en"",""ar""))"),"&lt;إلى رحلة")</f>
        <v>&lt;إلى رحلة</v>
      </c>
      <c r="C2277" s="2" t="str">
        <f>IFERROR(__xludf.DUMMYFUNCTION("CONCAT(""&lt;"",GOOGLETRANSLATE(C2276,""en"",""ar""))"),"&lt;(أ) QAL للتجول ؛ (ب) QAL النشط النشط: Wanderer")</f>
        <v>&lt;(أ) QAL للتجول ؛ (ب) QAL النشط النشط: Wanderer</v>
      </c>
    </row>
    <row r="2278" ht="15.75" customHeight="1">
      <c r="A2278" s="1" t="s">
        <v>2717</v>
      </c>
      <c r="B2278" s="2" t="s">
        <v>2718</v>
      </c>
      <c r="C2278" s="2"/>
    </row>
    <row r="2279" ht="15.75" customHeight="1">
      <c r="B2279" s="2" t="s">
        <v>2719</v>
      </c>
      <c r="C2279" s="2" t="s">
        <v>2720</v>
      </c>
    </row>
    <row r="2280" ht="15.75" customHeight="1">
      <c r="A2280" s="2" t="s">
        <v>4</v>
      </c>
      <c r="B2280" s="2" t="str">
        <f>IFERROR(__xludf.DUMMYFUNCTION("CONCAT(""&lt;"",GOOGLETRANSLATE(B2279,""en"",""ar""))"),"&lt;آه")</f>
        <v>&lt;آه</v>
      </c>
      <c r="C2280" s="2" t="str">
        <f>IFERROR(__xludf.DUMMYFUNCTION("CONCAT(""&lt;"",GOOGLETRANSLATE(C2279,""en"",""ar""))"),"&lt;(أ) آه ؛ ابن أوللا قبيلة آشر. (ب) آه ؛ رأس الأسرة بعد المنفى (ج) آه ؛ والد شيكانيا ، والد زوجة توبيا")</f>
        <v>&lt;(أ) آه ؛ ابن أوللا قبيلة آشر. (ب) آه ؛ رأس الأسرة بعد المنفى (ج) آه ؛ والد شيكانيا ، والد زوجة توبيا</v>
      </c>
    </row>
    <row r="2281" ht="15.75" customHeight="1">
      <c r="A2281" s="1" t="s">
        <v>2721</v>
      </c>
      <c r="B2281" s="2" t="s">
        <v>2722</v>
      </c>
      <c r="C2281" s="2"/>
    </row>
    <row r="2282" ht="15.75" customHeight="1">
      <c r="B2282" s="2" t="s">
        <v>2723</v>
      </c>
      <c r="C2282" s="2" t="s">
        <v>2724</v>
      </c>
    </row>
    <row r="2283" ht="15.75" customHeight="1">
      <c r="A2283" s="2" t="s">
        <v>4</v>
      </c>
      <c r="B2283" s="2" t="str">
        <f>IFERROR(__xludf.DUMMYFUNCTION("CONCAT(""&lt;"",GOOGLETRANSLATE(B2282,""en"",""ar""))"),"&lt;طريق")</f>
        <v>&lt;طريق</v>
      </c>
      <c r="C2283" s="2" t="str">
        <f>IFERROR(__xludf.DUMMYFUNCTION("CONCAT(""&lt;"",GOOGLETRANSLATE(C2282,""en"",""ar""))"),"&lt;الطريق ، الطريق ؛ السلوك ، السلوك ، الوضع ، الطريقة ، الشرط ، الكثير")</f>
        <v>&lt;الطريق ، الطريق ؛ السلوك ، السلوك ، الوضع ، الطريقة ، الشرط ، الكثير</v>
      </c>
    </row>
    <row r="2284" ht="15.75" customHeight="1">
      <c r="A2284" s="1" t="s">
        <v>2725</v>
      </c>
      <c r="B2284" s="2" t="s">
        <v>2726</v>
      </c>
      <c r="C2284" s="2"/>
    </row>
    <row r="2285" ht="15.75" customHeight="1">
      <c r="B2285" s="2" t="s">
        <v>2723</v>
      </c>
    </row>
    <row r="2286" ht="15.75" customHeight="1">
      <c r="A2286" s="2" t="s">
        <v>4</v>
      </c>
      <c r="B2286" s="2" t="str">
        <f>IFERROR(__xludf.DUMMYFUNCTION("CONCAT(""&lt;"",GOOGLETRANSLATE(B2285,""en"",""ar""))"),"&lt;طريق")</f>
        <v>&lt;طريق</v>
      </c>
      <c r="C2286" s="2"/>
    </row>
    <row r="2287" ht="15.75" customHeight="1">
      <c r="A2287" s="1" t="s">
        <v>2727</v>
      </c>
      <c r="B2287" s="2" t="s">
        <v>2728</v>
      </c>
      <c r="C2287" s="2"/>
    </row>
    <row r="2288" ht="15.75" customHeight="1">
      <c r="B2288" s="2" t="s">
        <v>2729</v>
      </c>
      <c r="C2288" s="2" t="s">
        <v>2729</v>
      </c>
    </row>
    <row r="2289" ht="15.75" customHeight="1">
      <c r="A2289" s="2" t="s">
        <v>4</v>
      </c>
      <c r="B2289" s="2" t="str">
        <f>IFERROR(__xludf.DUMMYFUNCTION("CONCAT(""&lt;"",GOOGLETRANSLATE(B2288,""en"",""ar""))"),"&lt;المنزل المتنقل")</f>
        <v>&lt;المنزل المتنقل</v>
      </c>
      <c r="C2289" s="2" t="str">
        <f>IFERROR(__xludf.DUMMYFUNCTION("CONCAT(""&lt;"",GOOGLETRANSLATE(C2288,""en"",""ar""))"),"&lt;المنزل المتنقل")</f>
        <v>&lt;المنزل المتنقل</v>
      </c>
    </row>
    <row r="2290" ht="15.75" customHeight="1">
      <c r="A2290" s="1" t="s">
        <v>2730</v>
      </c>
      <c r="B2290" s="2" t="s">
        <v>2731</v>
      </c>
      <c r="C2290" s="2"/>
    </row>
    <row r="2291" ht="15.75" customHeight="1">
      <c r="B2291" s="2" t="s">
        <v>2732</v>
      </c>
      <c r="C2291" s="2" t="s">
        <v>2733</v>
      </c>
    </row>
    <row r="2292" ht="15.75" customHeight="1">
      <c r="A2292" s="2" t="s">
        <v>4</v>
      </c>
      <c r="B2292" s="2" t="str">
        <f>IFERROR(__xludf.DUMMYFUNCTION("CONCAT(""&lt;"",GOOGLETRANSLATE(B2291,""en"",""ar""))"),"&lt;حصة تموينية")</f>
        <v>&lt;حصة تموينية</v>
      </c>
      <c r="C2292" s="2" t="str">
        <f>IFERROR(__xludf.DUMMYFUNCTION("CONCAT(""&lt;"",GOOGLETRANSLATE(C2291,""en"",""ar""))"),"&lt;بدل ، جزء")</f>
        <v>&lt;بدل ، جزء</v>
      </c>
    </row>
    <row r="2293" ht="15.75" customHeight="1">
      <c r="A2293" s="1" t="s">
        <v>2734</v>
      </c>
      <c r="B2293" s="2" t="s">
        <v>2735</v>
      </c>
      <c r="C2293" s="2"/>
    </row>
    <row r="2294" ht="15.75" customHeight="1">
      <c r="B2294" s="2" t="s">
        <v>2736</v>
      </c>
      <c r="C2294" s="2" t="s">
        <v>2736</v>
      </c>
    </row>
    <row r="2295" ht="15.75" customHeight="1">
      <c r="A2295" s="2" t="s">
        <v>4</v>
      </c>
      <c r="B2295" s="2" t="str">
        <f>IFERROR(__xludf.DUMMYFUNCTION("CONCAT(""&lt;"",GOOGLETRANSLATE(B2294,""en"",""ar""))"),"&lt;أسد")</f>
        <v>&lt;أسد</v>
      </c>
      <c r="C2295" s="2" t="str">
        <f>IFERROR(__xludf.DUMMYFUNCTION("CONCAT(""&lt;"",GOOGLETRANSLATE(C2294,""en"",""ar""))"),"&lt;أسد")</f>
        <v>&lt;أسد</v>
      </c>
    </row>
    <row r="2296" ht="15.75" customHeight="1">
      <c r="A2296" s="1" t="s">
        <v>2737</v>
      </c>
      <c r="B2296" s="2" t="s">
        <v>2735</v>
      </c>
      <c r="C2296" s="2"/>
    </row>
    <row r="2297" ht="15.75" customHeight="1">
      <c r="B2297" s="2" t="s">
        <v>2736</v>
      </c>
      <c r="C2297" s="2" t="s">
        <v>2736</v>
      </c>
    </row>
    <row r="2298" ht="15.75" customHeight="1">
      <c r="A2298" s="2" t="s">
        <v>4</v>
      </c>
      <c r="B2298" s="2" t="str">
        <f>IFERROR(__xludf.DUMMYFUNCTION("CONCAT(""&lt;"",GOOGLETRANSLATE(B2297,""en"",""ar""))"),"&lt;أسد")</f>
        <v>&lt;أسد</v>
      </c>
      <c r="C2298" s="2" t="str">
        <f>IFERROR(__xludf.DUMMYFUNCTION("CONCAT(""&lt;"",GOOGLETRANSLATE(C2297,""en"",""ar""))"),"&lt;أسد")</f>
        <v>&lt;أسد</v>
      </c>
    </row>
    <row r="2299" ht="15.75" customHeight="1">
      <c r="A2299" s="1" t="s">
        <v>2738</v>
      </c>
      <c r="B2299" s="2" t="s">
        <v>2739</v>
      </c>
      <c r="C2299" s="2"/>
    </row>
    <row r="2300" ht="15.75" customHeight="1">
      <c r="B2300" s="2" t="s">
        <v>2740</v>
      </c>
      <c r="C2300" s="2" t="s">
        <v>2741</v>
      </c>
    </row>
    <row r="2301" ht="15.75" customHeight="1">
      <c r="A2301" s="2" t="s">
        <v>4</v>
      </c>
      <c r="B2301" s="2" t="str">
        <f>IFERROR(__xludf.DUMMYFUNCTION("CONCAT(""&lt;"",GOOGLETRANSLATE(B2300,""en"",""ar""))"),"&lt;أرييل")</f>
        <v>&lt;أرييل</v>
      </c>
      <c r="C2301" s="2" t="str">
        <f>IFERROR(__xludf.DUMMYFUNCTION("CONCAT(""&lt;"",GOOGLETRANSLATE(C2300,""en"",""ar""))"),"&lt;(2A) أرييل ؛ رجل؛ بعد المنفى (2 ب) أرييل ؛ اسم آخر للقدس")</f>
        <v>&lt;(2A) أرييل ؛ رجل؛ بعد المنفى (2 ب) أرييل ؛ اسم آخر للقدس</v>
      </c>
    </row>
    <row r="2302" ht="15.75" customHeight="1">
      <c r="A2302" s="1" t="s">
        <v>2742</v>
      </c>
      <c r="B2302" s="2" t="s">
        <v>2743</v>
      </c>
      <c r="C2302" s="2"/>
    </row>
    <row r="2303" ht="15.75" customHeight="1">
      <c r="B2303" s="2" t="s">
        <v>2740</v>
      </c>
      <c r="C2303" s="2" t="s">
        <v>2741</v>
      </c>
    </row>
    <row r="2304" ht="15.75" customHeight="1">
      <c r="A2304" s="2" t="s">
        <v>4</v>
      </c>
      <c r="B2304" s="2" t="str">
        <f>IFERROR(__xludf.DUMMYFUNCTION("CONCAT(""&lt;"",GOOGLETRANSLATE(B2303,""en"",""ar""))"),"&lt;أرييل")</f>
        <v>&lt;أرييل</v>
      </c>
      <c r="C2304" s="2" t="str">
        <f>IFERROR(__xludf.DUMMYFUNCTION("CONCAT(""&lt;"",GOOGLETRANSLATE(C2303,""en"",""ar""))"),"&lt;(2A) أرييل ؛ رجل؛ بعد المنفى (2 ب) أرييل ؛ اسم آخر للقدس")</f>
        <v>&lt;(2A) أرييل ؛ رجل؛ بعد المنفى (2 ب) أرييل ؛ اسم آخر للقدس</v>
      </c>
    </row>
    <row r="2305" ht="15.75" customHeight="1">
      <c r="A2305" s="1" t="s">
        <v>2744</v>
      </c>
      <c r="B2305" s="2" t="s">
        <v>2745</v>
      </c>
      <c r="C2305" s="2"/>
    </row>
    <row r="2306" ht="15.75" customHeight="1">
      <c r="B2306" s="2" t="s">
        <v>2746</v>
      </c>
      <c r="C2306" s="2" t="s">
        <v>2747</v>
      </c>
    </row>
    <row r="2307" ht="15.75" customHeight="1">
      <c r="A2307" s="2" t="s">
        <v>4</v>
      </c>
      <c r="B2307" s="2" t="str">
        <f>IFERROR(__xludf.DUMMYFUNCTION("CONCAT(""&lt;"",GOOGLETRANSLATE(B2306,""en"",""ar""))"),"&lt;مذبح")</f>
        <v>&lt;مذبح</v>
      </c>
      <c r="C2307" s="2" t="str">
        <f>IFERROR(__xludf.DUMMYFUNCTION("CONCAT(""&lt;"",GOOGLETRANSLATE(C2306,""en"",""ar""))"),"&lt;(1 ب) المذبح السفوق")</f>
        <v>&lt;(1 ب) المذبح السفوق</v>
      </c>
    </row>
    <row r="2308" ht="15.75" customHeight="1">
      <c r="A2308" s="1" t="s">
        <v>2748</v>
      </c>
      <c r="B2308" s="2" t="s">
        <v>2749</v>
      </c>
      <c r="C2308" s="2"/>
    </row>
    <row r="2309" ht="15.75" customHeight="1">
      <c r="B2309" s="2" t="s">
        <v>2750</v>
      </c>
      <c r="C2309" s="2" t="s">
        <v>2751</v>
      </c>
    </row>
    <row r="2310" ht="15.75" customHeight="1">
      <c r="A2310" s="2" t="s">
        <v>4</v>
      </c>
      <c r="B2310" s="2" t="str">
        <f>IFERROR(__xludf.DUMMYFUNCTION("CONCAT(""&lt;"",GOOGLETRANSLATE(B2309,""en"",""ar""))"),"&lt;aridai")</f>
        <v>&lt;aridai</v>
      </c>
      <c r="C2310" s="2" t="str">
        <f>IFERROR(__xludf.DUMMYFUNCTION("CONCAT(""&lt;"",GOOGLETRANSLATE(C2309,""en"",""ar""))"),"&lt;أريداي ابن هامان")</f>
        <v>&lt;أريداي ابن هامان</v>
      </c>
    </row>
    <row r="2311" ht="15.75" customHeight="1">
      <c r="A2311" s="1" t="s">
        <v>2752</v>
      </c>
      <c r="B2311" s="2" t="s">
        <v>2753</v>
      </c>
      <c r="C2311" s="2"/>
    </row>
    <row r="2312" ht="15.75" customHeight="1">
      <c r="B2312" s="2" t="s">
        <v>2754</v>
      </c>
      <c r="C2312" s="2" t="s">
        <v>2755</v>
      </c>
    </row>
    <row r="2313" ht="15.75" customHeight="1">
      <c r="A2313" s="2" t="s">
        <v>4</v>
      </c>
      <c r="B2313" s="2" t="str">
        <f>IFERROR(__xludf.DUMMYFUNCTION("CONCAT(""&lt;"",GOOGLETRANSLATE(B2312,""en"",""ar""))"),"&lt;Aridatha")</f>
        <v>&lt;Aridatha</v>
      </c>
      <c r="C2313" s="2" t="str">
        <f>IFERROR(__xludf.DUMMYFUNCTION("CONCAT(""&lt;"",GOOGLETRANSLATE(C2312,""en"",""ar""))"),"&lt;Aridatha ابن هامان")</f>
        <v>&lt;Aridatha ابن هامان</v>
      </c>
    </row>
    <row r="2314" ht="15.75" customHeight="1">
      <c r="A2314" s="1" t="s">
        <v>2756</v>
      </c>
      <c r="B2314" s="2" t="s">
        <v>2757</v>
      </c>
      <c r="C2314" s="2"/>
    </row>
    <row r="2315" ht="15.75" customHeight="1">
      <c r="B2315" s="2" t="s">
        <v>2736</v>
      </c>
      <c r="C2315" s="2" t="s">
        <v>2736</v>
      </c>
    </row>
    <row r="2316" ht="15.75" customHeight="1">
      <c r="A2316" s="2" t="s">
        <v>4</v>
      </c>
      <c r="B2316" s="2" t="str">
        <f>IFERROR(__xludf.DUMMYFUNCTION("CONCAT(""&lt;"",GOOGLETRANSLATE(B2315,""en"",""ar""))"),"&lt;أسد")</f>
        <v>&lt;أسد</v>
      </c>
      <c r="C2316" s="2" t="str">
        <f>IFERROR(__xludf.DUMMYFUNCTION("CONCAT(""&lt;"",GOOGLETRANSLATE(C2315,""en"",""ar""))"),"&lt;أسد")</f>
        <v>&lt;أسد</v>
      </c>
    </row>
    <row r="2317" ht="15.75" customHeight="1">
      <c r="A2317" s="1" t="s">
        <v>2758</v>
      </c>
      <c r="B2317" s="2" t="s">
        <v>2759</v>
      </c>
      <c r="C2317" s="2"/>
    </row>
    <row r="2318" ht="15.75" customHeight="1">
      <c r="B2318" s="2" t="s">
        <v>2760</v>
      </c>
      <c r="C2318" s="2" t="s">
        <v>2761</v>
      </c>
    </row>
    <row r="2319" ht="15.75" customHeight="1">
      <c r="A2319" s="2" t="s">
        <v>4</v>
      </c>
      <c r="B2319" s="2" t="str">
        <f>IFERROR(__xludf.DUMMYFUNCTION("CONCAT(""&lt;"",GOOGLETRANSLATE(B2318,""en"",""ar""))"),"&lt;آريه")</f>
        <v>&lt;آريه</v>
      </c>
      <c r="C2319" s="2" t="str">
        <f>IFERROR(__xludf.DUMMYFUNCTION("CONCAT(""&lt;"",GOOGLETRANSLATE(C2318,""en"",""ar""))"),"&lt;(1) الأسد. (2) أريه ؛ رجل؟")</f>
        <v>&lt;(1) الأسد. (2) أريه ؛ رجل؟</v>
      </c>
    </row>
    <row r="2320" ht="15.75" customHeight="1">
      <c r="A2320" s="1" t="s">
        <v>2762</v>
      </c>
      <c r="B2320" s="2" t="s">
        <v>2763</v>
      </c>
      <c r="C2320" s="2"/>
    </row>
    <row r="2321" ht="15.75" customHeight="1">
      <c r="B2321" s="2" t="s">
        <v>2764</v>
      </c>
      <c r="C2321" s="2" t="s">
        <v>2765</v>
      </c>
    </row>
    <row r="2322" ht="15.75" customHeight="1">
      <c r="A2322" s="2" t="s">
        <v>4</v>
      </c>
      <c r="B2322" s="2" t="str">
        <f>IFERROR(__xludf.DUMMYFUNCTION("CONCAT(""&lt;"",GOOGLETRANSLATE(B2321,""en"",""ar""))"),"&lt;أريوش")</f>
        <v>&lt;أريوش</v>
      </c>
      <c r="C2322" s="2" t="str">
        <f>IFERROR(__xludf.DUMMYFUNCTION("CONCAT(""&lt;"",GOOGLETRANSLATE(C2321,""en"",""ar""))"),"&lt;أريوش ملك إلاسار")</f>
        <v>&lt;أريوش ملك إلاسار</v>
      </c>
    </row>
    <row r="2323" ht="15.75" customHeight="1">
      <c r="A2323" s="1" t="s">
        <v>2766</v>
      </c>
      <c r="B2323" s="2" t="s">
        <v>2767</v>
      </c>
      <c r="C2323" s="2"/>
    </row>
    <row r="2324" ht="15.75" customHeight="1">
      <c r="B2324" s="2" t="s">
        <v>2764</v>
      </c>
      <c r="C2324" s="2" t="s">
        <v>2768</v>
      </c>
    </row>
    <row r="2325" ht="15.75" customHeight="1">
      <c r="A2325" s="2" t="s">
        <v>4</v>
      </c>
      <c r="B2325" s="2" t="str">
        <f>IFERROR(__xludf.DUMMYFUNCTION("CONCAT(""&lt;"",GOOGLETRANSLATE(B2324,""en"",""ar""))"),"&lt;أريوش")</f>
        <v>&lt;أريوش</v>
      </c>
      <c r="C2325" s="2" t="str">
        <f>IFERROR(__xludf.DUMMYFUNCTION("CONCAT(""&lt;"",GOOGLETRANSLATE(C2324,""en"",""ar""))"),"&lt;أريوش رجل")</f>
        <v>&lt;أريوش رجل</v>
      </c>
    </row>
    <row r="2326" ht="15.75" customHeight="1">
      <c r="A2326" s="1" t="s">
        <v>2769</v>
      </c>
      <c r="B2326" s="2" t="s">
        <v>2770</v>
      </c>
      <c r="C2326" s="2"/>
    </row>
    <row r="2327" ht="15.75" customHeight="1">
      <c r="B2327" s="2" t="s">
        <v>2771</v>
      </c>
      <c r="C2327" s="2" t="s">
        <v>2772</v>
      </c>
    </row>
    <row r="2328" ht="15.75" customHeight="1">
      <c r="A2328" s="2" t="s">
        <v>4</v>
      </c>
      <c r="B2328" s="2" t="str">
        <f>IFERROR(__xludf.DUMMYFUNCTION("CONCAT(""&lt;"",GOOGLETRANSLATE(B2327,""en"",""ar""))"),"&lt;أريساي")</f>
        <v>&lt;أريساي</v>
      </c>
      <c r="C2328" s="2" t="str">
        <f>IFERROR(__xludf.DUMMYFUNCTION("CONCAT(""&lt;"",GOOGLETRANSLATE(C2327,""en"",""ar""))"),"&lt;أريساي ابن هامان")</f>
        <v>&lt;أريساي ابن هامان</v>
      </c>
    </row>
    <row r="2329" ht="15.75" customHeight="1">
      <c r="A2329" s="1" t="s">
        <v>2773</v>
      </c>
      <c r="B2329" s="2" t="s">
        <v>2774</v>
      </c>
      <c r="C2329" s="2"/>
    </row>
    <row r="2330" ht="15.75" customHeight="1">
      <c r="B2330" s="2" t="s">
        <v>2775</v>
      </c>
      <c r="C2330" s="2" t="s">
        <v>2776</v>
      </c>
    </row>
    <row r="2331" ht="15.75" customHeight="1">
      <c r="A2331" s="2" t="s">
        <v>4</v>
      </c>
      <c r="B2331" s="2" t="str">
        <f>IFERROR(__xludf.DUMMYFUNCTION("CONCAT(""&lt;"",GOOGLETRANSLATE(B2330,""en"",""ar""))"),"&lt;لإطالة")</f>
        <v>&lt;لإطالة</v>
      </c>
      <c r="C2331" s="2" t="str">
        <f>IFERROR(__xludf.DUMMYFUNCTION("CONCAT(""&lt;"",GOOGLETRANSLATE(C2330,""en"",""ar""))"),"&lt;(أ) QAL لتكون طويلة ؛ (ب) HIF. لإطالة؛ لتكون طويلة")</f>
        <v>&lt;(أ) QAL لتكون طويلة ؛ (ب) HIF. لإطالة؛ لتكون طويلة</v>
      </c>
    </row>
    <row r="2332" ht="15.75" customHeight="1">
      <c r="A2332" s="1" t="s">
        <v>2777</v>
      </c>
      <c r="B2332" s="2" t="s">
        <v>2778</v>
      </c>
      <c r="C2332" s="2"/>
    </row>
    <row r="2333" ht="15.75" customHeight="1">
      <c r="B2333" s="2" t="s">
        <v>2779</v>
      </c>
    </row>
    <row r="2334" ht="15.75" customHeight="1">
      <c r="A2334" s="2" t="s">
        <v>4</v>
      </c>
      <c r="B2334" s="2" t="str">
        <f>IFERROR(__xludf.DUMMYFUNCTION("CONCAT(""&lt;"",GOOGLETRANSLATE(B2333,""en"",""ar""))"),"&lt;كن مناسبًا")</f>
        <v>&lt;كن مناسبًا</v>
      </c>
      <c r="C2334" s="2"/>
    </row>
    <row r="2335" ht="15.75" customHeight="1">
      <c r="A2335" s="1" t="s">
        <v>2780</v>
      </c>
      <c r="B2335" s="2" t="s">
        <v>2781</v>
      </c>
      <c r="C2335" s="2"/>
    </row>
    <row r="2336" ht="15.75" customHeight="1">
      <c r="A2336" s="2"/>
      <c r="B2336" s="2" t="s">
        <v>2782</v>
      </c>
    </row>
    <row r="2337" ht="15.75" customHeight="1">
      <c r="A2337" s="2" t="s">
        <v>4</v>
      </c>
      <c r="B2337" s="2" t="str">
        <f>IFERROR(__xludf.DUMMYFUNCTION("CONCAT(""&lt;"",GOOGLETRANSLATE(B2336,""en"",""ar""))"),"&lt;بطيء")</f>
        <v>&lt;بطيء</v>
      </c>
      <c r="C2337" s="2"/>
    </row>
    <row r="2338" ht="15.75" customHeight="1">
      <c r="A2338" s="1" t="s">
        <v>2783</v>
      </c>
      <c r="B2338" s="2" t="s">
        <v>2784</v>
      </c>
      <c r="C2338" s="2"/>
    </row>
    <row r="2339" ht="15.75" customHeight="1">
      <c r="A2339" s="2"/>
      <c r="B2339" s="2" t="s">
        <v>2785</v>
      </c>
      <c r="C2339" s="2" t="s">
        <v>2786</v>
      </c>
    </row>
    <row r="2340" ht="15.75" customHeight="1">
      <c r="A2340" s="2" t="s">
        <v>4</v>
      </c>
      <c r="B2340" s="2" t="str">
        <f>IFERROR(__xludf.DUMMYFUNCTION("CONCAT(""&lt;"",GOOGLETRANSLATE(B2339,""en"",""ar""))"),"&lt;إريك")</f>
        <v>&lt;إريك</v>
      </c>
      <c r="C2340" s="2" t="str">
        <f>IFERROR(__xludf.DUMMYFUNCTION("CONCAT(""&lt;"",GOOGLETRANSLATE(C2339,""en"",""ar""))"),"&lt;إريك ؛ بلدة في بلاد ما بين النهرين")</f>
        <v>&lt;إريك ؛ بلدة في بلاد ما بين النهرين</v>
      </c>
    </row>
    <row r="2341" ht="15.75" customHeight="1">
      <c r="A2341" s="1" t="s">
        <v>2787</v>
      </c>
      <c r="B2341" s="2" t="s">
        <v>2788</v>
      </c>
      <c r="C2341" s="2"/>
    </row>
    <row r="2342" ht="15.75" customHeight="1">
      <c r="A2342" s="2"/>
      <c r="B2342" s="2" t="s">
        <v>2789</v>
      </c>
      <c r="C2342" s="2" t="s">
        <v>2789</v>
      </c>
    </row>
    <row r="2343" ht="15.75" customHeight="1">
      <c r="A2343" s="2" t="s">
        <v>4</v>
      </c>
      <c r="B2343" s="2" t="str">
        <f>IFERROR(__xludf.DUMMYFUNCTION("CONCAT(""&lt;"",GOOGLETRANSLATE(B2342,""en"",""ar""))"),"&lt;طويل")</f>
        <v>&lt;طويل</v>
      </c>
      <c r="C2343" s="2" t="str">
        <f>IFERROR(__xludf.DUMMYFUNCTION("CONCAT(""&lt;"",GOOGLETRANSLATE(C2342,""en"",""ar""))"),"&lt;طويل")</f>
        <v>&lt;طويل</v>
      </c>
    </row>
    <row r="2344" ht="15.75" customHeight="1">
      <c r="A2344" s="1" t="s">
        <v>2790</v>
      </c>
      <c r="B2344" s="2" t="s">
        <v>2791</v>
      </c>
      <c r="C2344" s="2"/>
    </row>
    <row r="2345" ht="15.75" customHeight="1">
      <c r="A2345" s="2"/>
      <c r="B2345" s="2" t="s">
        <v>2792</v>
      </c>
      <c r="C2345" s="2" t="s">
        <v>2793</v>
      </c>
    </row>
    <row r="2346" ht="15.75" customHeight="1">
      <c r="A2346" s="2" t="s">
        <v>4</v>
      </c>
      <c r="B2346" s="2" t="str">
        <f>IFERROR(__xludf.DUMMYFUNCTION("CONCAT(""&lt;"",GOOGLETRANSLATE(B2345,""en"",""ar""))"),"&lt;طول")</f>
        <v>&lt;طول</v>
      </c>
      <c r="C2346" s="2" t="str">
        <f>IFERROR(__xludf.DUMMYFUNCTION("CONCAT(""&lt;"",GOOGLETRANSLATE(C2345,""en"",""ar""))"),"&lt;طول \ طويل")</f>
        <v>&lt;طول \ طويل</v>
      </c>
    </row>
    <row r="2347" ht="15.75" customHeight="1">
      <c r="A2347" s="1" t="s">
        <v>2794</v>
      </c>
      <c r="B2347" s="2" t="s">
        <v>2795</v>
      </c>
      <c r="C2347" s="2"/>
    </row>
    <row r="2348" ht="15.75" customHeight="1">
      <c r="A2348" s="2"/>
      <c r="B2348" s="2" t="s">
        <v>2796</v>
      </c>
      <c r="C2348" s="2" t="s">
        <v>2797</v>
      </c>
    </row>
    <row r="2349" ht="15.75" customHeight="1">
      <c r="A2349" s="2" t="s">
        <v>4</v>
      </c>
      <c r="B2349" s="2" t="str">
        <f>IFERROR(__xludf.DUMMYFUNCTION("CONCAT(""&lt;"",GOOGLETRANSLATE(B2348,""en"",""ar""))"),"&lt;إطالة")</f>
        <v>&lt;إطالة</v>
      </c>
      <c r="C2349" s="2" t="str">
        <f>IFERROR(__xludf.DUMMYFUNCTION("CONCAT(""&lt;"",GOOGLETRANSLATE(C2348,""en"",""ar""))"),"&lt;1) الإطالة ، إطالة ، إطالة")</f>
        <v>&lt;1) الإطالة ، إطالة ، إطالة</v>
      </c>
    </row>
    <row r="2350" ht="15.75" customHeight="1">
      <c r="A2350" s="1" t="s">
        <v>2798</v>
      </c>
      <c r="B2350" s="2" t="s">
        <v>2799</v>
      </c>
      <c r="C2350" s="2"/>
    </row>
    <row r="2351" ht="15.75" customHeight="1">
      <c r="B2351" s="2" t="s">
        <v>2800</v>
      </c>
    </row>
    <row r="2352" ht="15.75" customHeight="1">
      <c r="A2352" s="2" t="s">
        <v>4</v>
      </c>
      <c r="B2352" s="2" t="str">
        <f>IFERROR(__xludf.DUMMYFUNCTION("CONCAT(""&lt;"",GOOGLETRANSLATE(B2351,""en"",""ar""))"),"&lt;ركبة")</f>
        <v>&lt;ركبة</v>
      </c>
      <c r="C2352" s="2"/>
    </row>
    <row r="2353" ht="15.75" customHeight="1">
      <c r="A2353" s="1" t="s">
        <v>2801</v>
      </c>
      <c r="B2353" s="2" t="s">
        <v>2802</v>
      </c>
      <c r="C2353" s="2"/>
    </row>
    <row r="2354" ht="15.75" customHeight="1">
      <c r="B2354" s="2" t="s">
        <v>2803</v>
      </c>
      <c r="C2354" s="2" t="s">
        <v>2803</v>
      </c>
    </row>
    <row r="2355" ht="15.75" customHeight="1">
      <c r="A2355" s="2" t="s">
        <v>4</v>
      </c>
      <c r="B2355" s="2" t="str">
        <f>IFERROR(__xludf.DUMMYFUNCTION("CONCAT(""&lt;"",GOOGLETRANSLATE(B2354,""en"",""ar""))"),"&lt;الأرشكيت")</f>
        <v>&lt;الأرشكيت</v>
      </c>
      <c r="C2355" s="2" t="str">
        <f>IFERROR(__xludf.DUMMYFUNCTION("CONCAT(""&lt;"",GOOGLETRANSLATE(C2354,""en"",""ar""))"),"&lt;الأرشكيت")</f>
        <v>&lt;الأرشكيت</v>
      </c>
    </row>
    <row r="2356" ht="15.75" customHeight="1">
      <c r="A2356" s="1" t="s">
        <v>2804</v>
      </c>
      <c r="B2356" s="2" t="s">
        <v>2805</v>
      </c>
      <c r="C2356" s="2"/>
    </row>
    <row r="2357" ht="15.75" customHeight="1">
      <c r="B2357" s="2" t="s">
        <v>2806</v>
      </c>
      <c r="C2357" s="2" t="s">
        <v>2807</v>
      </c>
    </row>
    <row r="2358" ht="15.75" customHeight="1">
      <c r="A2358" s="2" t="s">
        <v>4</v>
      </c>
      <c r="B2358" s="2" t="str">
        <f>IFERROR(__xludf.DUMMYFUNCTION("CONCAT(""&lt;"",GOOGLETRANSLATE(B2357,""en"",""ar""))"),"&lt;الأرسيت")</f>
        <v>&lt;الأرسيت</v>
      </c>
      <c r="C2358" s="2" t="str">
        <f>IFERROR(__xludf.DUMMYFUNCTION("CONCAT(""&lt;"",GOOGLETRANSLATE(C2357,""en"",""ar""))"),"&lt;أركت عشيرة - قبيلة؛ قبيلة بنيامين")</f>
        <v>&lt;أركت عشيرة - قبيلة؛ قبيلة بنيامين</v>
      </c>
    </row>
    <row r="2359" ht="15.75" customHeight="1">
      <c r="A2359" s="1" t="s">
        <v>2808</v>
      </c>
      <c r="B2359" s="2" t="s">
        <v>2809</v>
      </c>
      <c r="C2359" s="2"/>
    </row>
    <row r="2360" ht="15.75" customHeight="1">
      <c r="B2360" s="2" t="s">
        <v>2810</v>
      </c>
      <c r="C2360" s="2" t="s">
        <v>2811</v>
      </c>
    </row>
    <row r="2361" ht="15.75" customHeight="1">
      <c r="A2361" s="2" t="s">
        <v>4</v>
      </c>
      <c r="B2361" s="2" t="str">
        <f>IFERROR(__xludf.DUMMYFUNCTION("CONCAT(""&lt;"",GOOGLETRANSLATE(B2360,""en"",""ar""))"),"&lt;أرام")</f>
        <v>&lt;أرام</v>
      </c>
      <c r="C2361" s="2" t="str">
        <f>IFERROR(__xludf.DUMMYFUNCTION("CONCAT(""&lt;"",GOOGLETRANSLATE(C2360,""en"",""ar""))"),"&lt;سوريين بيث ريهوب ؛ مملكة أرامين")</f>
        <v>&lt;سوريين بيث ريهوب ؛ مملكة أرامين</v>
      </c>
    </row>
    <row r="2362" ht="15.75" customHeight="1">
      <c r="A2362" s="1" t="s">
        <v>2812</v>
      </c>
      <c r="B2362" s="2" t="s">
        <v>2813</v>
      </c>
      <c r="C2362" s="2"/>
    </row>
    <row r="2363" ht="15.75" customHeight="1">
      <c r="B2363" s="2" t="s">
        <v>2814</v>
      </c>
      <c r="C2363" s="2" t="s">
        <v>2815</v>
      </c>
    </row>
    <row r="2364" ht="15.75" customHeight="1">
      <c r="A2364" s="2" t="s">
        <v>4</v>
      </c>
      <c r="B2364" s="2" t="str">
        <f>IFERROR(__xludf.DUMMYFUNCTION("CONCAT(""&lt;"",GOOGLETRANSLATE(B2363,""en"",""ar""))"),"&lt;قلعة")</f>
        <v>&lt;قلعة</v>
      </c>
      <c r="C2364" s="2" t="str">
        <f>IFERROR(__xludf.DUMMYFUNCTION("CONCAT(""&lt;"",GOOGLETRANSLATE(C2363,""en"",""ar""))"),"&lt;القلعة ، القصر")</f>
        <v>&lt;القلعة ، القصر</v>
      </c>
    </row>
    <row r="2365" ht="15.75" customHeight="1">
      <c r="A2365" s="1" t="s">
        <v>2816</v>
      </c>
      <c r="B2365" s="2" t="s">
        <v>2817</v>
      </c>
      <c r="C2365" s="2"/>
    </row>
    <row r="2366" ht="15.75" customHeight="1">
      <c r="B2366" s="2" t="s">
        <v>2818</v>
      </c>
      <c r="C2366" s="2" t="s">
        <v>2819</v>
      </c>
    </row>
    <row r="2367" ht="15.75" customHeight="1">
      <c r="A2367" s="2" t="s">
        <v>4</v>
      </c>
      <c r="B2367" s="2" t="str">
        <f>IFERROR(__xludf.DUMMYFUNCTION("CONCAT(""&lt;"",GOOGLETRANSLATE(B2366,""en"",""ar""))"),"&lt;أرام زوبي")</f>
        <v>&lt;أرام زوبي</v>
      </c>
      <c r="C2367" s="2" t="str">
        <f>IFERROR(__xludf.DUMMYFUNCTION("CONCAT(""&lt;"",GOOGLETRANSLATE(C2366,""en"",""ar""))"),"&lt;(أ) أرام ، سوريا ؛ ابن شيم الناس ، الأرض ؛ (ب) أرام ، سوريا ؛ ابن كيمويل نسل نهر ؛ (ج) أرام ، سوريا ؛ ابن شيمر قبيلة آشر")</f>
        <v>&lt;(أ) أرام ، سوريا ؛ ابن شيم الناس ، الأرض ؛ (ب) أرام ، سوريا ؛ ابن كيمويل نسل نهر ؛ (ج) أرام ، سوريا ؛ ابن شيمر قبيلة آشر</v>
      </c>
    </row>
    <row r="2368" ht="15.75" customHeight="1">
      <c r="A2368" s="1" t="s">
        <v>2820</v>
      </c>
      <c r="B2368" s="2" t="s">
        <v>2821</v>
      </c>
      <c r="C2368" s="2"/>
    </row>
    <row r="2369" ht="15.75" customHeight="1">
      <c r="B2369" s="2" t="s">
        <v>2822</v>
      </c>
      <c r="C2369" s="2" t="s">
        <v>2823</v>
      </c>
    </row>
    <row r="2370" ht="15.75" customHeight="1">
      <c r="A2370" s="2" t="s">
        <v>4</v>
      </c>
      <c r="B2370" s="2" t="str">
        <f>IFERROR(__xludf.DUMMYFUNCTION("CONCAT(""&lt;"",GOOGLETRANSLATE(B2369,""en"",""ar""))"),"&lt;aramean")</f>
        <v>&lt;aramean</v>
      </c>
      <c r="C2370" s="2" t="str">
        <f>IFERROR(__xludf.DUMMYFUNCTION("CONCAT(""&lt;"",GOOGLETRANSLATE(C2369,""en"",""ar""))"),"&lt;أراميان ، السوري ؛ سليل أو ساكن من آرام ، سوريا")</f>
        <v>&lt;أراميان ، السوري ؛ سليل أو ساكن من آرام ، سوريا</v>
      </c>
    </row>
    <row r="2371" ht="15.75" customHeight="1">
      <c r="A2371" s="1" t="s">
        <v>2824</v>
      </c>
      <c r="B2371" s="2" t="s">
        <v>2825</v>
      </c>
      <c r="C2371" s="2"/>
    </row>
    <row r="2372" ht="15.75" customHeight="1">
      <c r="B2372" s="2" t="s">
        <v>2826</v>
      </c>
      <c r="C2372" s="2" t="s">
        <v>2827</v>
      </c>
    </row>
    <row r="2373" ht="15.75" customHeight="1">
      <c r="A2373" s="2" t="s">
        <v>4</v>
      </c>
      <c r="B2373" s="2" t="str">
        <f>IFERROR(__xludf.DUMMYFUNCTION("CONCAT(""&lt;"",GOOGLETRANSLATE(B2372,""en"",""ar""))"),"&lt;في الآرامية")</f>
        <v>&lt;في الآرامية</v>
      </c>
      <c r="C2373" s="2" t="str">
        <f>IFERROR(__xludf.DUMMYFUNCTION("CONCAT(""&lt;"",GOOGLETRANSLATE(C2372,""en"",""ar""))"),"&lt;آرامية لغة")</f>
        <v>&lt;آرامية لغة</v>
      </c>
    </row>
    <row r="2374" ht="15.75" customHeight="1">
      <c r="A2374" s="1" t="s">
        <v>2828</v>
      </c>
      <c r="B2374" s="2" t="s">
        <v>2829</v>
      </c>
      <c r="C2374" s="2"/>
    </row>
    <row r="2375" ht="15.75" customHeight="1">
      <c r="B2375" s="2" t="s">
        <v>2830</v>
      </c>
      <c r="C2375" s="2" t="s">
        <v>2830</v>
      </c>
    </row>
    <row r="2376" ht="15.75" customHeight="1">
      <c r="A2376" s="2" t="s">
        <v>4</v>
      </c>
      <c r="B2376" s="2" t="str">
        <f>IFERROR(__xludf.DUMMYFUNCTION("CONCAT(""&lt;"",GOOGLETRANSLATE(B2375,""en"",""ar""))"),"&lt;بلاد ما بين النهرين")</f>
        <v>&lt;بلاد ما بين النهرين</v>
      </c>
      <c r="C2376" s="2" t="str">
        <f>IFERROR(__xludf.DUMMYFUNCTION("CONCAT(""&lt;"",GOOGLETRANSLATE(C2375,""en"",""ar""))"),"&lt;بلاد ما بين النهرين")</f>
        <v>&lt;بلاد ما بين النهرين</v>
      </c>
    </row>
    <row r="2377" ht="15.75" customHeight="1">
      <c r="A2377" s="1" t="s">
        <v>2831</v>
      </c>
      <c r="B2377" s="2" t="s">
        <v>2832</v>
      </c>
      <c r="C2377" s="2"/>
    </row>
    <row r="2378" ht="15.75" customHeight="1">
      <c r="B2378" s="2" t="s">
        <v>2833</v>
      </c>
      <c r="C2378" s="2" t="s">
        <v>2834</v>
      </c>
    </row>
    <row r="2379" ht="15.75" customHeight="1">
      <c r="A2379" s="2" t="s">
        <v>4</v>
      </c>
      <c r="B2379" s="2" t="str">
        <f>IFERROR(__xludf.DUMMYFUNCTION("CONCAT(""&lt;"",GOOGLETRANSLATE(B2378,""en"",""ar""))"),"&lt;أرموني")</f>
        <v>&lt;أرموني</v>
      </c>
      <c r="C2379" s="2" t="str">
        <f>IFERROR(__xludf.DUMMYFUNCTION("CONCAT(""&lt;"",GOOGLETRANSLATE(C2378,""en"",""ar""))"),"&lt;أرموني ابن الملك شاول")</f>
        <v>&lt;أرموني ابن الملك شاول</v>
      </c>
    </row>
    <row r="2380" ht="15.75" customHeight="1">
      <c r="A2380" s="1" t="s">
        <v>2835</v>
      </c>
      <c r="B2380" s="2" t="s">
        <v>2836</v>
      </c>
      <c r="C2380" s="2"/>
    </row>
    <row r="2381" ht="15.75" customHeight="1">
      <c r="B2381" s="2" t="s">
        <v>2837</v>
      </c>
      <c r="C2381" s="2" t="s">
        <v>2838</v>
      </c>
    </row>
    <row r="2382" ht="15.75" customHeight="1">
      <c r="A2382" s="2" t="s">
        <v>4</v>
      </c>
      <c r="B2382" s="2" t="str">
        <f>IFERROR(__xludf.DUMMYFUNCTION("CONCAT(""&lt;"",GOOGLETRANSLATE(B2381,""en"",""ar""))"),"&lt;أران")</f>
        <v>&lt;أران</v>
      </c>
      <c r="C2382" s="2" t="str">
        <f>IFERROR(__xludf.DUMMYFUNCTION("CONCAT(""&lt;"",GOOGLETRANSLATE(C2381,""en"",""ar""))"),"&lt;آران ابن دشان سليل سير")</f>
        <v>&lt;آران ابن دشان سليل سير</v>
      </c>
    </row>
    <row r="2383" ht="15.75" customHeight="1">
      <c r="A2383" s="1" t="s">
        <v>2839</v>
      </c>
      <c r="B2383" s="2" t="s">
        <v>2840</v>
      </c>
      <c r="C2383" s="2"/>
    </row>
    <row r="2384" ht="15.75" customHeight="1">
      <c r="B2384" s="2" t="s">
        <v>2841</v>
      </c>
      <c r="C2384" s="2" t="s">
        <v>2842</v>
      </c>
    </row>
    <row r="2385" ht="15.75" customHeight="1">
      <c r="A2385" s="2" t="s">
        <v>4</v>
      </c>
      <c r="B2385" s="2" t="str">
        <f>IFERROR(__xludf.DUMMYFUNCTION("CONCAT(""&lt;"",GOOGLETRANSLATE(B2384,""en"",""ar""))"),"&lt;التنوب")</f>
        <v>&lt;التنوب</v>
      </c>
      <c r="C2385" s="2" t="str">
        <f>IFERROR(__xludf.DUMMYFUNCTION("CONCAT(""&lt;"",GOOGLETRANSLATE(C2384,""en"",""ar""))"),"&lt;(1) شجرة الصنوبر ، شجرة التنوب")</f>
        <v>&lt;(1) شجرة الصنوبر ، شجرة التنوب</v>
      </c>
    </row>
    <row r="2386" ht="15.75" customHeight="1">
      <c r="A2386" s="1" t="s">
        <v>2843</v>
      </c>
      <c r="B2386" s="2" t="s">
        <v>2844</v>
      </c>
      <c r="C2386" s="2"/>
    </row>
    <row r="2387" ht="15.75" customHeight="1">
      <c r="B2387" s="2" t="s">
        <v>2845</v>
      </c>
      <c r="C2387" s="2" t="s">
        <v>2846</v>
      </c>
    </row>
    <row r="2388" ht="15.75" customHeight="1">
      <c r="A2388" s="2" t="s">
        <v>4</v>
      </c>
      <c r="B2388" s="2" t="str">
        <f>IFERROR(__xludf.DUMMYFUNCTION("CONCAT(""&lt;"",GOOGLETRANSLATE(B2387,""en"",""ar""))"),"&lt;أورين")</f>
        <v>&lt;أورين</v>
      </c>
      <c r="C2388" s="2" t="str">
        <f>IFERROR(__xludf.DUMMYFUNCTION("CONCAT(""&lt;"",GOOGLETRANSLATE(C2387,""en"",""ar""))"),"&lt;(2) أورين ؛ ابن جيراهميل قبيلة يهوذا")</f>
        <v>&lt;(2) أورين ؛ ابن جيراهميل قبيلة يهوذا</v>
      </c>
    </row>
    <row r="2389" ht="15.75" customHeight="1">
      <c r="A2389" s="1" t="s">
        <v>2847</v>
      </c>
      <c r="B2389" s="2" t="s">
        <v>2848</v>
      </c>
      <c r="C2389" s="2"/>
    </row>
    <row r="2390" ht="15.75" customHeight="1">
      <c r="B2390" s="2" t="s">
        <v>2849</v>
      </c>
      <c r="C2390" s="2" t="s">
        <v>2849</v>
      </c>
    </row>
    <row r="2391" ht="15.75" customHeight="1">
      <c r="A2391" s="2" t="s">
        <v>4</v>
      </c>
      <c r="B2391" s="2" t="str">
        <f>IFERROR(__xludf.DUMMYFUNCTION("CONCAT(""&lt;"",GOOGLETRANSLATE(B2390,""en"",""ar""))"),"&lt;أرنبة")</f>
        <v>&lt;أرنبة</v>
      </c>
      <c r="C2391" s="2" t="str">
        <f>IFERROR(__xludf.DUMMYFUNCTION("CONCAT(""&lt;"",GOOGLETRANSLATE(C2390,""en"",""ar""))"),"&lt;أرنبة")</f>
        <v>&lt;أرنبة</v>
      </c>
    </row>
    <row r="2392" ht="15.75" customHeight="1">
      <c r="A2392" s="1" t="s">
        <v>2850</v>
      </c>
      <c r="B2392" s="2" t="s">
        <v>2851</v>
      </c>
      <c r="C2392" s="2"/>
    </row>
    <row r="2393" ht="15.75" customHeight="1">
      <c r="B2393" s="2" t="s">
        <v>2852</v>
      </c>
      <c r="C2393" s="2" t="s">
        <v>2853</v>
      </c>
    </row>
    <row r="2394" ht="15.75" customHeight="1">
      <c r="A2394" s="2" t="s">
        <v>4</v>
      </c>
      <c r="B2394" s="2" t="str">
        <f>IFERROR(__xludf.DUMMYFUNCTION("CONCAT(""&lt;"",GOOGLETRANSLATE(B2393,""en"",""ar""))"),"&lt;أرنون")</f>
        <v>&lt;أرنون</v>
      </c>
      <c r="C2394" s="2" t="str">
        <f>IFERROR(__xludf.DUMMYFUNCTION("CONCAT(""&lt;"",GOOGLETRANSLATE(C2393,""en"",""ar""))"),"&lt;أرنون نهر")</f>
        <v>&lt;أرنون نهر</v>
      </c>
    </row>
    <row r="2395" ht="15.75" customHeight="1">
      <c r="A2395" s="1" t="s">
        <v>2854</v>
      </c>
      <c r="B2395" s="2" t="s">
        <v>2855</v>
      </c>
      <c r="C2395" s="2"/>
    </row>
    <row r="2396" ht="15.75" customHeight="1">
      <c r="B2396" s="2" t="s">
        <v>2856</v>
      </c>
      <c r="C2396" s="2" t="s">
        <v>2857</v>
      </c>
    </row>
    <row r="2397" ht="15.75" customHeight="1">
      <c r="A2397" s="2" t="s">
        <v>4</v>
      </c>
      <c r="B2397" s="2" t="str">
        <f>IFERROR(__xludf.DUMMYFUNCTION("CONCAT(""&lt;"",GOOGLETRANSLATE(B2396,""en"",""ar""))"),"&lt;أرنان")</f>
        <v>&lt;أرنان</v>
      </c>
      <c r="C2397" s="2" t="str">
        <f>IFERROR(__xludf.DUMMYFUNCTION("CONCAT(""&lt;"",GOOGLETRANSLATE(C2396,""en"",""ar""))"),"&lt;أرنان سليل Zerubbabel ؛ قبيلة يهوذا")</f>
        <v>&lt;أرنان سليل Zerubbabel ؛ قبيلة يهوذا</v>
      </c>
    </row>
    <row r="2398" ht="15.75" customHeight="1">
      <c r="A2398" s="1" t="s">
        <v>2858</v>
      </c>
      <c r="B2398" s="2" t="s">
        <v>2859</v>
      </c>
      <c r="C2398" s="2"/>
    </row>
    <row r="2399" ht="15.75" customHeight="1">
      <c r="B2399" s="2" t="s">
        <v>2860</v>
      </c>
      <c r="C2399" s="2" t="s">
        <v>2861</v>
      </c>
    </row>
    <row r="2400" ht="15.75" customHeight="1">
      <c r="A2400" s="2" t="s">
        <v>4</v>
      </c>
      <c r="B2400" s="2" t="str">
        <f>IFERROR(__xludf.DUMMYFUNCTION("CONCAT(""&lt;"",GOOGLETRANSLATE(B2399,""en"",""ar""))"),"&lt;ornan")</f>
        <v>&lt;ornan</v>
      </c>
      <c r="C2400" s="2" t="str">
        <f>IFERROR(__xludf.DUMMYFUNCTION("CONCAT(""&lt;"",GOOGLETRANSLATE(C2399,""en"",""ar""))"),"&lt;ornan جبوسيت")</f>
        <v>&lt;ornan جبوسيت</v>
      </c>
    </row>
    <row r="2401" ht="15.75" customHeight="1">
      <c r="A2401" s="1" t="s">
        <v>2862</v>
      </c>
      <c r="B2401" s="2" t="s">
        <v>2863</v>
      </c>
      <c r="C2401" s="2"/>
    </row>
    <row r="2402" ht="15.75" customHeight="1">
      <c r="B2402" s="2" t="s">
        <v>2864</v>
      </c>
      <c r="C2402" s="2" t="s">
        <v>2865</v>
      </c>
    </row>
    <row r="2403" ht="15.75" customHeight="1">
      <c r="A2403" s="2" t="s">
        <v>4</v>
      </c>
      <c r="B2403" s="2" t="str">
        <f>IFERROR(__xludf.DUMMYFUNCTION("CONCAT(""&lt;"",GOOGLETRANSLATE(B2402,""en"",""ar""))"),"&lt;أرض")</f>
        <v>&lt;أرض</v>
      </c>
      <c r="C2403" s="2" t="str">
        <f>IFERROR(__xludf.DUMMYFUNCTION("CONCAT(""&lt;"",GOOGLETRANSLATE(C2402,""en"",""ar""))"),"&lt;الأرض والأرض والبلد")</f>
        <v>&lt;الأرض والأرض والبلد</v>
      </c>
    </row>
    <row r="2404" ht="15.75" customHeight="1">
      <c r="A2404" s="1" t="s">
        <v>2866</v>
      </c>
      <c r="B2404" s="2" t="s">
        <v>2867</v>
      </c>
      <c r="C2404" s="2"/>
    </row>
    <row r="2405" ht="15.75" customHeight="1">
      <c r="B2405" s="2" t="s">
        <v>2868</v>
      </c>
    </row>
    <row r="2406" ht="15.75" customHeight="1">
      <c r="A2406" s="2" t="s">
        <v>4</v>
      </c>
      <c r="B2406" s="2" t="str">
        <f>IFERROR(__xludf.DUMMYFUNCTION("CONCAT(""&lt;"",GOOGLETRANSLATE(B2405,""en"",""ar""))"),"&lt;قاع")</f>
        <v>&lt;قاع</v>
      </c>
      <c r="C2406" s="2"/>
    </row>
    <row r="2407" ht="15.75" customHeight="1">
      <c r="A2407" s="1" t="s">
        <v>2869</v>
      </c>
      <c r="B2407" s="2" t="s">
        <v>2870</v>
      </c>
      <c r="C2407" s="2"/>
    </row>
    <row r="2408" ht="15.75" customHeight="1">
      <c r="B2408" s="2" t="s">
        <v>2871</v>
      </c>
      <c r="C2408" s="2" t="s">
        <v>2872</v>
      </c>
    </row>
    <row r="2409" ht="15.75" customHeight="1">
      <c r="A2409" s="2" t="s">
        <v>4</v>
      </c>
      <c r="B2409" s="2" t="str">
        <f>IFERROR(__xludf.DUMMYFUNCTION("CONCAT(""&lt;"",GOOGLETRANSLATE(B2408,""en"",""ar""))"),"&lt;arpad")</f>
        <v>&lt;arpad</v>
      </c>
      <c r="C2409" s="2" t="str">
        <f>IFERROR(__xludf.DUMMYFUNCTION("CONCAT(""&lt;"",GOOGLETRANSLATE(C2408,""en"",""ar""))"),"&lt;arpad بلدة في سوريا")</f>
        <v>&lt;arpad بلدة في سوريا</v>
      </c>
    </row>
    <row r="2410" ht="15.75" customHeight="1">
      <c r="A2410" s="1" t="s">
        <v>2873</v>
      </c>
      <c r="B2410" s="2" t="s">
        <v>2874</v>
      </c>
      <c r="C2410" s="2"/>
    </row>
    <row r="2411" ht="15.75" customHeight="1">
      <c r="B2411" s="2" t="s">
        <v>2875</v>
      </c>
      <c r="C2411" s="2" t="s">
        <v>2876</v>
      </c>
    </row>
    <row r="2412" ht="15.75" customHeight="1">
      <c r="A2412" s="2" t="s">
        <v>4</v>
      </c>
      <c r="B2412" s="2" t="str">
        <f>IFERROR(__xludf.DUMMYFUNCTION("CONCAT(""&lt;"",GOOGLETRANSLATE(B2411,""en"",""ar""))"),"&lt;Arpachshad")</f>
        <v>&lt;Arpachshad</v>
      </c>
      <c r="C2412" s="2" t="str">
        <f>IFERROR(__xludf.DUMMYFUNCTION("CONCAT(""&lt;"",GOOGLETRANSLATE(C2411,""en"",""ar""))"),"&lt;Arpachshad ابن شيم")</f>
        <v>&lt;Arpachshad ابن شيم</v>
      </c>
    </row>
    <row r="2413" ht="15.75" customHeight="1">
      <c r="A2413" s="1" t="s">
        <v>2877</v>
      </c>
      <c r="B2413" s="2" t="s">
        <v>2878</v>
      </c>
      <c r="C2413" s="2"/>
    </row>
    <row r="2414" ht="15.75" customHeight="1">
      <c r="B2414" s="2" t="s">
        <v>483</v>
      </c>
      <c r="C2414" s="2" t="s">
        <v>2865</v>
      </c>
    </row>
    <row r="2415" ht="15.75" customHeight="1">
      <c r="A2415" s="2" t="s">
        <v>4</v>
      </c>
      <c r="B2415" s="2" t="str">
        <f>IFERROR(__xludf.DUMMYFUNCTION("CONCAT(""&lt;"",GOOGLETRANSLATE(B2414,""en"",""ar""))"),"&lt;أرض")</f>
        <v>&lt;أرض</v>
      </c>
      <c r="C2415" s="2" t="str">
        <f>IFERROR(__xludf.DUMMYFUNCTION("CONCAT(""&lt;"",GOOGLETRANSLATE(C2414,""en"",""ar""))"),"&lt;الأرض والأرض والبلد")</f>
        <v>&lt;الأرض والأرض والبلد</v>
      </c>
    </row>
    <row r="2416" ht="15.75" customHeight="1">
      <c r="A2416" s="1" t="s">
        <v>2879</v>
      </c>
      <c r="B2416" s="2" t="s">
        <v>2880</v>
      </c>
      <c r="C2416" s="2"/>
    </row>
    <row r="2417" ht="15.75" customHeight="1">
      <c r="B2417" s="2" t="s">
        <v>2881</v>
      </c>
      <c r="C2417" s="2" t="s">
        <v>2882</v>
      </c>
    </row>
    <row r="2418" ht="15.75" customHeight="1">
      <c r="A2418" s="2" t="s">
        <v>4</v>
      </c>
      <c r="B2418" s="2" t="str">
        <f>IFERROR(__xludf.DUMMYFUNCTION("CONCAT(""&lt;"",GOOGLETRANSLATE(B2417,""en"",""ar""))"),"&lt;أرزا")</f>
        <v>&lt;أرزا</v>
      </c>
      <c r="C2418" s="2" t="str">
        <f>IFERROR(__xludf.DUMMYFUNCTION("CONCAT(""&lt;"",GOOGLETRANSLATE(C2417,""en"",""ar""))"),"&lt;أرزا رسمي؛ زمن علام ، ملك إسرائيل")</f>
        <v>&lt;أرزا رسمي؛ زمن علام ، ملك إسرائيل</v>
      </c>
    </row>
    <row r="2419" ht="15.75" customHeight="1">
      <c r="A2419" s="1" t="s">
        <v>2883</v>
      </c>
      <c r="B2419" s="2" t="s">
        <v>2884</v>
      </c>
      <c r="C2419" s="2"/>
    </row>
    <row r="2420" ht="15.75" customHeight="1">
      <c r="B2420" s="2" t="s">
        <v>2864</v>
      </c>
      <c r="C2420" s="2" t="s">
        <v>2865</v>
      </c>
    </row>
    <row r="2421" ht="15.75" customHeight="1">
      <c r="A2421" s="2" t="s">
        <v>4</v>
      </c>
      <c r="B2421" s="2" t="str">
        <f>IFERROR(__xludf.DUMMYFUNCTION("CONCAT(""&lt;"",GOOGLETRANSLATE(B2420,""en"",""ar""))"),"&lt;أرض")</f>
        <v>&lt;أرض</v>
      </c>
      <c r="C2421" s="2" t="str">
        <f>IFERROR(__xludf.DUMMYFUNCTION("CONCAT(""&lt;"",GOOGLETRANSLATE(C2420,""en"",""ar""))"),"&lt;الأرض والأرض والبلد")</f>
        <v>&lt;الأرض والأرض والبلد</v>
      </c>
    </row>
    <row r="2422" ht="15.75" customHeight="1">
      <c r="A2422" s="1" t="s">
        <v>2885</v>
      </c>
      <c r="B2422" s="2" t="s">
        <v>2886</v>
      </c>
      <c r="C2422" s="2"/>
    </row>
    <row r="2423" ht="15.75" customHeight="1">
      <c r="B2423" s="2" t="s">
        <v>2887</v>
      </c>
      <c r="C2423" s="2" t="s">
        <v>2888</v>
      </c>
    </row>
    <row r="2424" ht="15.75" customHeight="1">
      <c r="A2424" s="2" t="s">
        <v>4</v>
      </c>
      <c r="B2424" s="2" t="str">
        <f>IFERROR(__xludf.DUMMYFUNCTION("CONCAT(""&lt;"",GOOGLETRANSLATE(B2423,""en"",""ar""))"),"&lt;يلعن")</f>
        <v>&lt;يلعن</v>
      </c>
      <c r="C2424" s="2" t="str">
        <f>IFERROR(__xludf.DUMMYFUNCTION("CONCAT(""&lt;"",GOOGLETRANSLATE(C2423,""en"",""ar""))"),"&lt;(أ) QAL لعنة ؛ (ب) نيف. أن تكون لعن (ج) PI. يلعن؛ (د) هوف. أن تكون لعن")</f>
        <v>&lt;(أ) QAL لعنة ؛ (ب) نيف. أن تكون لعن (ج) PI. يلعن؛ (د) هوف. أن تكون لعن</v>
      </c>
    </row>
    <row r="2425" ht="15.75" customHeight="1">
      <c r="A2425" s="1" t="s">
        <v>2889</v>
      </c>
      <c r="B2425" s="2" t="s">
        <v>2890</v>
      </c>
      <c r="C2425" s="2"/>
    </row>
    <row r="2426" ht="15.75" customHeight="1">
      <c r="B2426" s="2" t="s">
        <v>2891</v>
      </c>
      <c r="C2426" s="2" t="s">
        <v>2892</v>
      </c>
    </row>
    <row r="2427" ht="15.75" customHeight="1">
      <c r="A2427" s="2" t="s">
        <v>4</v>
      </c>
      <c r="B2427" s="2" t="str">
        <f>IFERROR(__xludf.DUMMYFUNCTION("CONCAT(""&lt;"",GOOGLETRANSLATE(B2426,""en"",""ar""))"),"&lt;أرارات")</f>
        <v>&lt;أرارات</v>
      </c>
      <c r="C2427" s="2" t="str">
        <f>IFERROR(__xludf.DUMMYFUNCTION("CONCAT(""&lt;"",GOOGLETRANSLATE(C2426,""en"",""ar""))"),"&lt;أرارات المنطقة والناس. أرمينيا")</f>
        <v>&lt;أرارات المنطقة والناس. أرمينيا</v>
      </c>
    </row>
    <row r="2428" ht="15.75" customHeight="1">
      <c r="A2428" s="1" t="s">
        <v>2893</v>
      </c>
      <c r="B2428" s="2" t="s">
        <v>2894</v>
      </c>
      <c r="C2428" s="2"/>
    </row>
    <row r="2429" ht="15.75" customHeight="1">
      <c r="B2429" s="2" t="s">
        <v>2895</v>
      </c>
      <c r="C2429" s="2" t="s">
        <v>2896</v>
      </c>
    </row>
    <row r="2430" ht="15.75" customHeight="1">
      <c r="A2430" s="2" t="s">
        <v>4</v>
      </c>
      <c r="B2430" s="2" t="str">
        <f>IFERROR(__xludf.DUMMYFUNCTION("CONCAT(""&lt;"",GOOGLETRANSLATE(B2429,""en"",""ar""))"),"&lt;لاتصالات")</f>
        <v>&lt;لاتصالات</v>
      </c>
      <c r="C2430" s="2" t="str">
        <f>IFERROR(__xludf.DUMMYFUNCTION("CONCAT(""&lt;"",GOOGLETRANSLATE(C2429,""en"",""ar""))"),"&lt;(أ) PI. لاتصالات (ب) بو. أن تكون مخطوبة")</f>
        <v>&lt;(أ) PI. لاتصالات (ب) بو. أن تكون مخطوبة</v>
      </c>
    </row>
    <row r="2431" ht="15.75" customHeight="1">
      <c r="A2431" s="1" t="s">
        <v>2897</v>
      </c>
      <c r="B2431" s="2" t="s">
        <v>2898</v>
      </c>
      <c r="C2431" s="2"/>
    </row>
    <row r="2432" ht="15.75" customHeight="1">
      <c r="B2432" s="2" t="s">
        <v>2899</v>
      </c>
      <c r="C2432" s="2" t="s">
        <v>48</v>
      </c>
    </row>
    <row r="2433" ht="15.75" customHeight="1">
      <c r="A2433" s="2" t="s">
        <v>4</v>
      </c>
      <c r="B2433" s="2" t="str">
        <f>IFERROR(__xludf.DUMMYFUNCTION("CONCAT(""&lt;"",GOOGLETRANSLATE(B2432,""en"",""ar""))"),"&lt;طلب")</f>
        <v>&lt;طلب</v>
      </c>
      <c r="C2433" s="2" t="str">
        <f>IFERROR(__xludf.DUMMYFUNCTION("CONCAT(""&lt;"",GOOGLETRANSLATE(C2432,""en"",""ar""))"),"&lt;يرغب")</f>
        <v>&lt;يرغب</v>
      </c>
    </row>
    <row r="2434" ht="15.75" customHeight="1">
      <c r="A2434" s="1" t="s">
        <v>2900</v>
      </c>
      <c r="B2434" s="2" t="s">
        <v>2901</v>
      </c>
      <c r="C2434" s="2"/>
    </row>
    <row r="2435" ht="15.75" customHeight="1">
      <c r="B2435" s="2" t="s">
        <v>2902</v>
      </c>
      <c r="C2435" s="2" t="s">
        <v>2903</v>
      </c>
    </row>
    <row r="2436" ht="15.75" customHeight="1">
      <c r="A2436" s="2" t="s">
        <v>4</v>
      </c>
      <c r="B2436" s="2" t="str">
        <f>IFERROR(__xludf.DUMMYFUNCTION("CONCAT(""&lt;"",GOOGLETRANSLATE(B2435,""en"",""ar""))"),"&lt;Artaxerxes")</f>
        <v>&lt;Artaxerxes</v>
      </c>
      <c r="C2436" s="2" t="str">
        <f>IFERROR(__xludf.DUMMYFUNCTION("CONCAT(""&lt;"",GOOGLETRANSLATE(C2435,""en"",""ar""))"),"&lt;Artaxerxes ملك بلاد فارس")</f>
        <v>&lt;Artaxerxes ملك بلاد فارس</v>
      </c>
    </row>
    <row r="2437" ht="15.75" customHeight="1">
      <c r="A2437" s="1" t="s">
        <v>2904</v>
      </c>
      <c r="B2437" s="2" t="s">
        <v>2901</v>
      </c>
      <c r="C2437" s="2"/>
    </row>
    <row r="2438" ht="15.75" customHeight="1">
      <c r="B2438" s="2" t="s">
        <v>2902</v>
      </c>
      <c r="C2438" s="2" t="s">
        <v>2903</v>
      </c>
    </row>
    <row r="2439" ht="15.75" customHeight="1">
      <c r="A2439" s="2" t="s">
        <v>4</v>
      </c>
      <c r="B2439" s="2" t="str">
        <f>IFERROR(__xludf.DUMMYFUNCTION("CONCAT(""&lt;"",GOOGLETRANSLATE(B2438,""en"",""ar""))"),"&lt;Artaxerxes")</f>
        <v>&lt;Artaxerxes</v>
      </c>
      <c r="C2439" s="2" t="str">
        <f>IFERROR(__xludf.DUMMYFUNCTION("CONCAT(""&lt;"",GOOGLETRANSLATE(C2438,""en"",""ar""))"),"&lt;Artaxerxes ملك بلاد فارس")</f>
        <v>&lt;Artaxerxes ملك بلاد فارس</v>
      </c>
    </row>
    <row r="2440" ht="15.75" customHeight="1">
      <c r="A2440" s="1" t="s">
        <v>2905</v>
      </c>
      <c r="B2440" s="2" t="s">
        <v>2906</v>
      </c>
      <c r="C2440" s="2"/>
    </row>
    <row r="2441" ht="15.75" customHeight="1">
      <c r="B2441" s="2" t="s">
        <v>826</v>
      </c>
      <c r="C2441" s="2" t="s">
        <v>826</v>
      </c>
    </row>
    <row r="2442" ht="15.75" customHeight="1">
      <c r="A2442" s="2" t="s">
        <v>4</v>
      </c>
      <c r="B2442" s="2" t="str">
        <f>IFERROR(__xludf.DUMMYFUNCTION("CONCAT(""&lt;"",GOOGLETRANSLATE(B2441,""en"",""ar""))"),"&lt;نار")</f>
        <v>&lt;نار</v>
      </c>
      <c r="C2442" s="2" t="str">
        <f>IFERROR(__xludf.DUMMYFUNCTION("CONCAT(""&lt;"",GOOGLETRANSLATE(C2441,""en"",""ar""))"),"&lt;نار")</f>
        <v>&lt;نار</v>
      </c>
    </row>
    <row r="2443" ht="15.75" customHeight="1">
      <c r="A2443" s="1" t="s">
        <v>2907</v>
      </c>
      <c r="B2443" s="2" t="s">
        <v>2908</v>
      </c>
      <c r="C2443" s="2"/>
    </row>
    <row r="2444" ht="15.75" customHeight="1">
      <c r="B2444" s="2" t="s">
        <v>826</v>
      </c>
      <c r="C2444" s="2" t="s">
        <v>826</v>
      </c>
    </row>
    <row r="2445" ht="15.75" customHeight="1">
      <c r="A2445" s="2" t="s">
        <v>4</v>
      </c>
      <c r="B2445" s="2" t="str">
        <f>IFERROR(__xludf.DUMMYFUNCTION("CONCAT(""&lt;"",GOOGLETRANSLATE(B2444,""en"",""ar""))"),"&lt;نار")</f>
        <v>&lt;نار</v>
      </c>
      <c r="C2445" s="2" t="str">
        <f>IFERROR(__xludf.DUMMYFUNCTION("CONCAT(""&lt;"",GOOGLETRANSLATE(C2444,""en"",""ar""))"),"&lt;نار")</f>
        <v>&lt;نار</v>
      </c>
    </row>
    <row r="2446" ht="15.75" customHeight="1">
      <c r="A2446" s="1" t="s">
        <v>2909</v>
      </c>
      <c r="B2446" s="2" t="s">
        <v>2910</v>
      </c>
      <c r="C2446" s="2"/>
    </row>
    <row r="2447" ht="15.75" customHeight="1">
      <c r="B2447" s="2" t="s">
        <v>1468</v>
      </c>
      <c r="C2447" s="2" t="s">
        <v>2911</v>
      </c>
    </row>
    <row r="2448" ht="15.75" customHeight="1">
      <c r="A2448" s="2" t="s">
        <v>4</v>
      </c>
      <c r="B2448" s="2" t="str">
        <f>IFERROR(__xludf.DUMMYFUNCTION("CONCAT(""&lt;"",GOOGLETRANSLATE(B2447,""en"",""ar""))"),"&lt;هنالك")</f>
        <v>&lt;هنالك</v>
      </c>
      <c r="C2448" s="2" t="str">
        <f>IFERROR(__xludf.DUMMYFUNCTION("CONCAT(""&lt;"",GOOGLETRANSLATE(C2447,""en"",""ar""))"),"&lt;هناك ، هناك")</f>
        <v>&lt;هناك ، هناك</v>
      </c>
    </row>
    <row r="2449" ht="15.75" customHeight="1">
      <c r="A2449" s="1" t="s">
        <v>2912</v>
      </c>
      <c r="B2449" s="2" t="s">
        <v>1968</v>
      </c>
      <c r="C2449" s="2"/>
    </row>
    <row r="2450" ht="15.75" customHeight="1">
      <c r="B2450" s="2" t="s">
        <v>1969</v>
      </c>
    </row>
    <row r="2451" ht="15.75" customHeight="1">
      <c r="A2451" s="2" t="s">
        <v>4</v>
      </c>
      <c r="B2451" s="2" t="str">
        <f>IFERROR(__xludf.DUMMYFUNCTION("CONCAT(""&lt;"",GOOGLETRANSLATE(B2450,""en"",""ar""))"),"&lt;مؤسسة")</f>
        <v>&lt;مؤسسة</v>
      </c>
      <c r="C2451" s="2"/>
    </row>
    <row r="2452" ht="15.75" customHeight="1">
      <c r="A2452" s="1" t="s">
        <v>2913</v>
      </c>
      <c r="B2452" s="2" t="s">
        <v>2914</v>
      </c>
      <c r="C2452" s="2"/>
    </row>
    <row r="2453" ht="15.75" customHeight="1">
      <c r="B2453" s="2" t="s">
        <v>2915</v>
      </c>
      <c r="C2453" s="2" t="s">
        <v>2916</v>
      </c>
    </row>
    <row r="2454" ht="15.75" customHeight="1">
      <c r="A2454" s="2" t="s">
        <v>4</v>
      </c>
      <c r="B2454" s="2" t="str">
        <f>IFERROR(__xludf.DUMMYFUNCTION("CONCAT(""&lt;"",GOOGLETRANSLATE(B2453,""en"",""ar""))"),"&lt;آشبل")</f>
        <v>&lt;آشبل</v>
      </c>
      <c r="C2454" s="2" t="str">
        <f>IFERROR(__xludf.DUMMYFUNCTION("CONCAT(""&lt;"",GOOGLETRANSLATE(C2453,""en"",""ar""))"),"&lt;آشبل ابن بنيامين")</f>
        <v>&lt;آشبل ابن بنيامين</v>
      </c>
    </row>
    <row r="2455" ht="15.75" customHeight="1">
      <c r="A2455" s="1" t="s">
        <v>2917</v>
      </c>
      <c r="B2455" s="2" t="s">
        <v>2918</v>
      </c>
      <c r="C2455" s="2"/>
    </row>
    <row r="2456" ht="15.75" customHeight="1">
      <c r="B2456" s="2" t="s">
        <v>2919</v>
      </c>
      <c r="C2456" s="2" t="s">
        <v>2920</v>
      </c>
    </row>
    <row r="2457" ht="15.75" customHeight="1">
      <c r="A2457" s="2" t="s">
        <v>4</v>
      </c>
      <c r="B2457" s="2" t="str">
        <f>IFERROR(__xludf.DUMMYFUNCTION("CONCAT(""&lt;"",GOOGLETRANSLATE(B2456,""en"",""ar""))"),"&lt;أشبيلت")</f>
        <v>&lt;أشبيلت</v>
      </c>
      <c r="C2457" s="2" t="str">
        <f>IFERROR(__xludf.DUMMYFUNCTION("CONCAT(""&lt;"",GOOGLETRANSLATE(C2456,""en"",""ar""))"),"&lt;أشبيلت سليل آشبل ، ابن بنيامين")</f>
        <v>&lt;أشبيلت سليل آشبل ، ابن بنيامين</v>
      </c>
    </row>
    <row r="2458" ht="15.75" customHeight="1">
      <c r="A2458" s="1" t="s">
        <v>2921</v>
      </c>
      <c r="B2458" s="2" t="s">
        <v>2922</v>
      </c>
      <c r="C2458" s="2"/>
    </row>
    <row r="2459" ht="15.75" customHeight="1">
      <c r="B2459" s="2" t="s">
        <v>2923</v>
      </c>
      <c r="C2459" s="2" t="s">
        <v>2924</v>
      </c>
    </row>
    <row r="2460" ht="15.75" customHeight="1">
      <c r="A2460" s="2" t="s">
        <v>4</v>
      </c>
      <c r="B2460" s="2" t="str">
        <f>IFERROR(__xludf.DUMMYFUNCTION("CONCAT(""&lt;"",GOOGLETRANSLATE(B2459,""en"",""ar""))"),"&lt;إيشان")</f>
        <v>&lt;إيشان</v>
      </c>
      <c r="C2460" s="2" t="str">
        <f>IFERROR(__xludf.DUMMYFUNCTION("CONCAT(""&lt;"",GOOGLETRANSLATE(C2459,""en"",""ar""))"),"&lt;ايشبان ابن ديشون سليل سير")</f>
        <v>&lt;ايشبان ابن ديشون سليل سير</v>
      </c>
    </row>
    <row r="2461" ht="15.75" customHeight="1">
      <c r="A2461" s="1" t="s">
        <v>2925</v>
      </c>
      <c r="B2461" s="2" t="s">
        <v>2926</v>
      </c>
      <c r="C2461" s="2"/>
    </row>
    <row r="2462" ht="15.75" customHeight="1">
      <c r="B2462" s="2" t="s">
        <v>2927</v>
      </c>
      <c r="C2462" s="2" t="s">
        <v>2927</v>
      </c>
    </row>
    <row r="2463" ht="15.75" customHeight="1">
      <c r="A2463" s="2" t="s">
        <v>4</v>
      </c>
      <c r="B2463" s="2" t="str">
        <f>IFERROR(__xludf.DUMMYFUNCTION("CONCAT(""&lt;"",GOOGLETRANSLATE(B2462,""en"",""ar""))"),"&lt;أشبيا")</f>
        <v>&lt;أشبيا</v>
      </c>
      <c r="C2463" s="2" t="str">
        <f>IFERROR(__xludf.DUMMYFUNCTION("CONCAT(""&lt;"",GOOGLETRANSLATE(C2462,""en"",""ar""))"),"&lt;أشبيا")</f>
        <v>&lt;أشبيا</v>
      </c>
    </row>
    <row r="2464" ht="15.75" customHeight="1">
      <c r="A2464" s="1" t="s">
        <v>2928</v>
      </c>
      <c r="B2464" s="2" t="s">
        <v>2929</v>
      </c>
      <c r="C2464" s="2"/>
    </row>
    <row r="2465" ht="15.75" customHeight="1">
      <c r="B2465" s="2" t="s">
        <v>2930</v>
      </c>
      <c r="C2465" s="2" t="s">
        <v>2931</v>
      </c>
    </row>
    <row r="2466" ht="15.75" customHeight="1">
      <c r="A2466" s="2" t="s">
        <v>4</v>
      </c>
      <c r="B2466" s="2" t="str">
        <f>IFERROR(__xludf.DUMMYFUNCTION("CONCAT(""&lt;"",GOOGLETRANSLATE(B2465,""en"",""ar""))"),"&lt;eshbaal")</f>
        <v>&lt;eshbaal</v>
      </c>
      <c r="C2466" s="2" t="str">
        <f>IFERROR(__xludf.DUMMYFUNCTION("CONCAT(""&lt;"",GOOGLETRANSLATE(C2465,""en"",""ar""))"),"&lt;eshbaal ابن الملك شاول قبيلة بنيامين")</f>
        <v>&lt;eshbaal ابن الملك شاول قبيلة بنيامين</v>
      </c>
    </row>
    <row r="2467" ht="15.75" customHeight="1">
      <c r="A2467" s="1" t="s">
        <v>2932</v>
      </c>
      <c r="B2467" s="2" t="s">
        <v>2933</v>
      </c>
      <c r="C2467" s="2"/>
    </row>
    <row r="2468" ht="15.75" customHeight="1">
      <c r="B2468" s="2" t="s">
        <v>2934</v>
      </c>
      <c r="C2468" s="2" t="s">
        <v>2934</v>
      </c>
    </row>
    <row r="2469" ht="15.75" customHeight="1">
      <c r="A2469" s="2" t="s">
        <v>4</v>
      </c>
      <c r="B2469" s="2" t="str">
        <f>IFERROR(__xludf.DUMMYFUNCTION("CONCAT(""&lt;"",GOOGLETRANSLATE(B2468,""en"",""ar""))"),"&lt;ميل")</f>
        <v>&lt;ميل</v>
      </c>
      <c r="C2469" s="2" t="str">
        <f>IFERROR(__xludf.DUMMYFUNCTION("CONCAT(""&lt;"",GOOGLETRANSLATE(C2468,""en"",""ar""))"),"&lt;ميل")</f>
        <v>&lt;ميل</v>
      </c>
    </row>
    <row r="2470" ht="15.75" customHeight="1">
      <c r="A2470" s="1" t="s">
        <v>2935</v>
      </c>
      <c r="B2470" s="2" t="s">
        <v>2936</v>
      </c>
      <c r="C2470" s="2"/>
    </row>
    <row r="2471" ht="15.75" customHeight="1">
      <c r="B2471" s="2" t="s">
        <v>2934</v>
      </c>
      <c r="C2471" s="2" t="s">
        <v>2934</v>
      </c>
    </row>
    <row r="2472" ht="15.75" customHeight="1">
      <c r="A2472" s="2" t="s">
        <v>4</v>
      </c>
      <c r="B2472" s="2" t="str">
        <f>IFERROR(__xludf.DUMMYFUNCTION("CONCAT(""&lt;"",GOOGLETRANSLATE(B2471,""en"",""ar""))"),"&lt;ميل")</f>
        <v>&lt;ميل</v>
      </c>
      <c r="C2472" s="2" t="str">
        <f>IFERROR(__xludf.DUMMYFUNCTION("CONCAT(""&lt;"",GOOGLETRANSLATE(C2471,""en"",""ar""))"),"&lt;ميل")</f>
        <v>&lt;ميل</v>
      </c>
    </row>
    <row r="2473" ht="15.75" customHeight="1">
      <c r="A2473" s="1" t="s">
        <v>2937</v>
      </c>
      <c r="B2473" s="2" t="s">
        <v>2938</v>
      </c>
      <c r="C2473" s="2"/>
    </row>
    <row r="2474" ht="15.75" customHeight="1">
      <c r="B2474" s="2" t="s">
        <v>2939</v>
      </c>
      <c r="C2474" s="2" t="s">
        <v>2940</v>
      </c>
    </row>
    <row r="2475" ht="15.75" customHeight="1">
      <c r="A2475" s="2" t="s">
        <v>4</v>
      </c>
      <c r="B2475" s="2" t="str">
        <f>IFERROR(__xludf.DUMMYFUNCTION("CONCAT(""&lt;"",GOOGLETRANSLATE(B2474,""en"",""ar""))"),"&lt;أشوود")</f>
        <v>&lt;أشوود</v>
      </c>
      <c r="C2475" s="2" t="str">
        <f>IFERROR(__xludf.DUMMYFUNCTION("CONCAT(""&lt;"",GOOGLETRANSLATE(C2474,""en"",""ar""))"),"&lt;أشوود بلدة في فلسفة")</f>
        <v>&lt;أشوود بلدة في فلسفة</v>
      </c>
    </row>
    <row r="2476" ht="15.75" customHeight="1">
      <c r="A2476" s="1" t="s">
        <v>2941</v>
      </c>
      <c r="B2476" s="2" t="s">
        <v>2942</v>
      </c>
      <c r="C2476" s="2"/>
    </row>
    <row r="2477" ht="15.75" customHeight="1">
      <c r="B2477" s="2" t="s">
        <v>2943</v>
      </c>
      <c r="C2477" s="2" t="s">
        <v>2944</v>
      </c>
    </row>
    <row r="2478" ht="15.75" customHeight="1">
      <c r="A2478" s="2" t="s">
        <v>4</v>
      </c>
      <c r="B2478" s="2" t="str">
        <f>IFERROR(__xludf.DUMMYFUNCTION("CONCAT(""&lt;"",GOOGLETRANSLATE(B2477,""en"",""ar""))"),"&lt;أشوديت")</f>
        <v>&lt;أشوديت</v>
      </c>
      <c r="C2478" s="2" t="str">
        <f>IFERROR(__xludf.DUMMYFUNCTION("CONCAT(""&lt;"",GOOGLETRANSLATE(C2477,""en"",""ar""))"),"&lt;أشوديت ساكن أشدود")</f>
        <v>&lt;أشوديت ساكن أشدود</v>
      </c>
    </row>
    <row r="2479" ht="15.75" customHeight="1">
      <c r="A2479" s="1" t="s">
        <v>2945</v>
      </c>
      <c r="B2479" s="2" t="s">
        <v>2946</v>
      </c>
      <c r="C2479" s="2"/>
    </row>
    <row r="2480" ht="15.75" customHeight="1">
      <c r="B2480" s="2" t="s">
        <v>2947</v>
      </c>
    </row>
    <row r="2481" ht="15.75" customHeight="1">
      <c r="A2481" s="2" t="s">
        <v>4</v>
      </c>
      <c r="B2481" s="2" t="str">
        <f>IFERROR(__xludf.DUMMYFUNCTION("CONCAT(""&lt;"",GOOGLETRANSLATE(B2480,""en"",""ar""))"),"&lt;د في لغة أشدود")</f>
        <v>&lt;د في لغة أشدود</v>
      </c>
      <c r="C2481" s="2"/>
    </row>
    <row r="2482" ht="15.75" customHeight="1">
      <c r="A2482" s="1" t="s">
        <v>2948</v>
      </c>
      <c r="B2482" s="2" t="s">
        <v>2949</v>
      </c>
      <c r="C2482" s="2"/>
    </row>
    <row r="2483" ht="15.75" customHeight="1">
      <c r="B2483" s="2" t="s">
        <v>2950</v>
      </c>
      <c r="C2483" s="2" t="s">
        <v>2950</v>
      </c>
    </row>
    <row r="2484" ht="15.75" customHeight="1">
      <c r="A2484" s="2" t="s">
        <v>4</v>
      </c>
      <c r="B2484" s="2" t="str">
        <f>IFERROR(__xludf.DUMMYFUNCTION("CONCAT(""&lt;"",GOOGLETRANSLATE(B2483,""en"",""ar""))"),"&lt;Ashdoth-pisgah")</f>
        <v>&lt;Ashdoth-pisgah</v>
      </c>
      <c r="C2484" s="2" t="str">
        <f>IFERROR(__xludf.DUMMYFUNCTION("CONCAT(""&lt;"",GOOGLETRANSLATE(C2483,""en"",""ar""))"),"&lt;Ashdoth-pisgah")</f>
        <v>&lt;Ashdoth-pisgah</v>
      </c>
    </row>
    <row r="2485" ht="15.75" customHeight="1">
      <c r="A2485" s="1" t="s">
        <v>2951</v>
      </c>
      <c r="B2485" s="2" t="s">
        <v>2952</v>
      </c>
      <c r="C2485" s="2"/>
    </row>
    <row r="2486" ht="15.75" customHeight="1">
      <c r="B2486" s="2" t="s">
        <v>2953</v>
      </c>
    </row>
    <row r="2487" ht="15.75" customHeight="1">
      <c r="A2487" s="2" t="s">
        <v>4</v>
      </c>
      <c r="B2487" s="2" t="str">
        <f>IFERROR(__xludf.DUMMYFUNCTION("CONCAT(""&lt;"",GOOGLETRANSLATE(B2486,""en"",""ar""))"),"&lt;ناري")</f>
        <v>&lt;ناري</v>
      </c>
      <c r="C2487" s="2"/>
    </row>
    <row r="2488" ht="15.75" customHeight="1">
      <c r="A2488" s="1" t="s">
        <v>2954</v>
      </c>
      <c r="B2488" s="2" t="s">
        <v>2908</v>
      </c>
      <c r="C2488" s="2"/>
    </row>
    <row r="2489" ht="15.75" customHeight="1">
      <c r="B2489" s="2" t="s">
        <v>826</v>
      </c>
    </row>
    <row r="2490" ht="15.75" customHeight="1">
      <c r="A2490" s="2" t="s">
        <v>4</v>
      </c>
      <c r="B2490" s="2" t="str">
        <f>IFERROR(__xludf.DUMMYFUNCTION("CONCAT(""&lt;"",GOOGLETRANSLATE(B2489,""en"",""ar""))"),"&lt;نار")</f>
        <v>&lt;نار</v>
      </c>
      <c r="C2490" s="2"/>
    </row>
    <row r="2491" ht="15.75" customHeight="1">
      <c r="A2491" s="1" t="s">
        <v>2955</v>
      </c>
      <c r="B2491" s="2" t="s">
        <v>2956</v>
      </c>
      <c r="C2491" s="2"/>
    </row>
    <row r="2492" ht="15.75" customHeight="1">
      <c r="B2492" s="2" t="s">
        <v>2957</v>
      </c>
      <c r="C2492" s="2" t="s">
        <v>2958</v>
      </c>
    </row>
    <row r="2493" ht="15.75" customHeight="1">
      <c r="A2493" s="2" t="s">
        <v>4</v>
      </c>
      <c r="B2493" s="2" t="str">
        <f>IFERROR(__xludf.DUMMYFUNCTION("CONCAT(""&lt;"",GOOGLETRANSLATE(B2492,""en"",""ar""))"),"&lt;محرقة")</f>
        <v>&lt;محرقة</v>
      </c>
      <c r="C2493" s="2" t="str">
        <f>IFERROR(__xludf.DUMMYFUNCTION("CONCAT(""&lt;"",GOOGLETRANSLATE(C2492,""en"",""ar""))"),"&lt;العروض التي قدمتها النار")</f>
        <v>&lt;العروض التي قدمتها النار</v>
      </c>
    </row>
    <row r="2494" ht="15.75" customHeight="1">
      <c r="A2494" s="1" t="s">
        <v>2959</v>
      </c>
      <c r="B2494" s="2" t="s">
        <v>2960</v>
      </c>
      <c r="C2494" s="2"/>
    </row>
    <row r="2495" ht="15.75" customHeight="1">
      <c r="B2495" s="2" t="s">
        <v>2961</v>
      </c>
      <c r="C2495" s="2" t="s">
        <v>2962</v>
      </c>
    </row>
    <row r="2496" ht="15.75" customHeight="1">
      <c r="A2496" s="2" t="s">
        <v>4</v>
      </c>
      <c r="B2496" s="2" t="str">
        <f>IFERROR(__xludf.DUMMYFUNCTION("CONCAT(""&lt;"",GOOGLETRANSLATE(B2495,""en"",""ar""))"),"&lt;امرأة")</f>
        <v>&lt;امرأة</v>
      </c>
      <c r="C2496" s="2" t="str">
        <f>IFERROR(__xludf.DUMMYFUNCTION("CONCAT(""&lt;"",GOOGLETRANSLATE(C2495,""en"",""ar""))"),"&lt;امرأة ، زوجة")</f>
        <v>&lt;امرأة ، زوجة</v>
      </c>
    </row>
    <row r="2497" ht="15.75" customHeight="1">
      <c r="A2497" s="1" t="s">
        <v>2963</v>
      </c>
      <c r="B2497" s="2" t="s">
        <v>2964</v>
      </c>
      <c r="C2497" s="2"/>
    </row>
    <row r="2498" ht="15.75" customHeight="1">
      <c r="B2498" s="2" t="s">
        <v>1969</v>
      </c>
      <c r="C2498" s="2" t="s">
        <v>2965</v>
      </c>
    </row>
    <row r="2499" ht="15.75" customHeight="1">
      <c r="A2499" s="2" t="s">
        <v>4</v>
      </c>
      <c r="B2499" s="2" t="str">
        <f>IFERROR(__xludf.DUMMYFUNCTION("CONCAT(""&lt;"",GOOGLETRANSLATE(B2498,""en"",""ar""))"),"&lt;مؤسسة")</f>
        <v>&lt;مؤسسة</v>
      </c>
      <c r="C2499" s="2" t="str">
        <f>IFERROR(__xludf.DUMMYFUNCTION("CONCAT(""&lt;"",GOOGLETRANSLATE(C2498,""en"",""ar""))"),"&lt;عمود؟ Bulwark؟ برج؟")</f>
        <v>&lt;عمود؟ Bulwark؟ برج؟</v>
      </c>
    </row>
    <row r="2500" ht="15.75" customHeight="1">
      <c r="A2500" s="1" t="s">
        <v>2966</v>
      </c>
      <c r="B2500" s="2" t="s">
        <v>2967</v>
      </c>
      <c r="C2500" s="2"/>
    </row>
    <row r="2501" ht="15.75" customHeight="1">
      <c r="B2501" s="2" t="s">
        <v>2968</v>
      </c>
      <c r="C2501" s="2" t="s">
        <v>2969</v>
      </c>
    </row>
    <row r="2502" ht="15.75" customHeight="1">
      <c r="A2502" s="2" t="s">
        <v>4</v>
      </c>
      <c r="B2502" s="2" t="str">
        <f>IFERROR(__xludf.DUMMYFUNCTION("CONCAT(""&lt;"",GOOGLETRANSLATE(B2501,""en"",""ar""))"),"&lt;asshur")</f>
        <v>&lt;asshur</v>
      </c>
      <c r="C2502" s="2" t="str">
        <f>IFERROR(__xludf.DUMMYFUNCTION("CONCAT(""&lt;"",GOOGLETRANSLATE(C2501,""en"",""ar""))"),"&lt;asshur ابن شيم الناس ، الأرض")</f>
        <v>&lt;asshur ابن شيم الناس ، الأرض</v>
      </c>
    </row>
    <row r="2503" ht="15.75" customHeight="1">
      <c r="A2503" s="1" t="s">
        <v>2970</v>
      </c>
      <c r="B2503" s="2" t="s">
        <v>2971</v>
      </c>
      <c r="C2503" s="2"/>
    </row>
    <row r="2504" ht="15.75" customHeight="1">
      <c r="B2504" s="2" t="s">
        <v>2972</v>
      </c>
      <c r="C2504" s="2" t="s">
        <v>2973</v>
      </c>
    </row>
    <row r="2505" ht="15.75" customHeight="1">
      <c r="A2505" s="2" t="s">
        <v>4</v>
      </c>
      <c r="B2505" s="2" t="str">
        <f>IFERROR(__xludf.DUMMYFUNCTION("CONCAT(""&lt;"",GOOGLETRANSLATE(B2504,""en"",""ar""))"),"&lt;عاشوريت")</f>
        <v>&lt;عاشوريت</v>
      </c>
      <c r="C2505" s="2" t="str">
        <f>IFERROR(__xludf.DUMMYFUNCTION("CONCAT(""&lt;"",GOOGLETRANSLATE(C2504,""en"",""ar""))"),"&lt;asshurim الناس؛ أحفاد Jokshan")</f>
        <v>&lt;asshurim الناس؛ أحفاد Jokshan</v>
      </c>
    </row>
    <row r="2506" ht="15.75" customHeight="1">
      <c r="A2506" s="1" t="s">
        <v>2974</v>
      </c>
      <c r="B2506" s="2" t="s">
        <v>2975</v>
      </c>
      <c r="C2506" s="2"/>
    </row>
    <row r="2507" ht="15.75" customHeight="1">
      <c r="B2507" s="2" t="s">
        <v>2972</v>
      </c>
      <c r="C2507" s="2" t="s">
        <v>2976</v>
      </c>
    </row>
    <row r="2508" ht="15.75" customHeight="1">
      <c r="A2508" s="2" t="s">
        <v>4</v>
      </c>
      <c r="B2508" s="2" t="str">
        <f>IFERROR(__xludf.DUMMYFUNCTION("CONCAT(""&lt;"",GOOGLETRANSLATE(B2507,""en"",""ar""))"),"&lt;عاشوريت")</f>
        <v>&lt;عاشوريت</v>
      </c>
      <c r="C2508" s="2" t="str">
        <f>IFERROR(__xludf.DUMMYFUNCTION("CONCAT(""&lt;"",GOOGLETRANSLATE(C2507,""en"",""ar""))"),"&lt;عاشوريت الناس؟ موقع؟")</f>
        <v>&lt;عاشوريت الناس؟ موقع؟</v>
      </c>
    </row>
    <row r="2509" ht="15.75" customHeight="1">
      <c r="A2509" s="1" t="s">
        <v>2977</v>
      </c>
      <c r="B2509" s="2" t="s">
        <v>2978</v>
      </c>
      <c r="C2509" s="2"/>
    </row>
    <row r="2510" ht="15.75" customHeight="1">
      <c r="B2510" s="2" t="s">
        <v>2979</v>
      </c>
      <c r="C2510" s="2" t="s">
        <v>2980</v>
      </c>
    </row>
    <row r="2511" ht="15.75" customHeight="1">
      <c r="A2511" s="2" t="s">
        <v>4</v>
      </c>
      <c r="B2511" s="2" t="str">
        <f>IFERROR(__xludf.DUMMYFUNCTION("CONCAT(""&lt;"",GOOGLETRANSLATE(B2510,""en"",""ar""))"),"&lt;أشور")</f>
        <v>&lt;أشور</v>
      </c>
      <c r="C2511" s="2" t="str">
        <f>IFERROR(__xludf.DUMMYFUNCTION("CONCAT(""&lt;"",GOOGLETRANSLATE(C2510,""en"",""ar""))"),"&lt;أشور ابن كالب مؤسس Tekoa ؛ قبيلة يهوذا")</f>
        <v>&lt;أشور ابن كالب مؤسس Tekoa ؛ قبيلة يهوذا</v>
      </c>
    </row>
    <row r="2512" ht="15.75" customHeight="1">
      <c r="A2512" s="1" t="s">
        <v>2981</v>
      </c>
      <c r="B2512" s="2" t="s">
        <v>2982</v>
      </c>
      <c r="C2512" s="2"/>
    </row>
    <row r="2513" ht="15.75" customHeight="1">
      <c r="B2513" s="2" t="s">
        <v>2983</v>
      </c>
      <c r="C2513" s="2" t="s">
        <v>2984</v>
      </c>
    </row>
    <row r="2514" ht="15.75" customHeight="1">
      <c r="A2514" s="2" t="s">
        <v>4</v>
      </c>
      <c r="B2514" s="2" t="str">
        <f>IFERROR(__xludf.DUMMYFUNCTION("CONCAT(""&lt;"",GOOGLETRANSLATE(B2513,""en"",""ar""))"),"&lt;آشيما")</f>
        <v>&lt;آشيما</v>
      </c>
      <c r="C2514" s="2" t="str">
        <f>IFERROR(__xludf.DUMMYFUNCTION("CONCAT(""&lt;"",GOOGLETRANSLATE(C2513,""en"",""ar""))"),"&lt;آشيما إله هاماث")</f>
        <v>&lt;آشيما إله هاماث</v>
      </c>
    </row>
    <row r="2515" ht="15.75" customHeight="1">
      <c r="A2515" s="1" t="s">
        <v>2985</v>
      </c>
      <c r="B2515" s="2" t="s">
        <v>2986</v>
      </c>
      <c r="C2515" s="2"/>
    </row>
    <row r="2516" ht="15.75" customHeight="1">
      <c r="B2516" s="2" t="s">
        <v>1969</v>
      </c>
    </row>
    <row r="2517" ht="15.75" customHeight="1">
      <c r="A2517" s="2" t="s">
        <v>4</v>
      </c>
      <c r="B2517" s="2" t="str">
        <f>IFERROR(__xludf.DUMMYFUNCTION("CONCAT(""&lt;"",GOOGLETRANSLATE(B2516,""en"",""ar""))"),"&lt;مؤسسة")</f>
        <v>&lt;مؤسسة</v>
      </c>
      <c r="C2517" s="2"/>
    </row>
    <row r="2518" ht="15.75" customHeight="1">
      <c r="A2518" s="1" t="s">
        <v>2987</v>
      </c>
      <c r="B2518" s="2" t="s">
        <v>2988</v>
      </c>
      <c r="C2518" s="2"/>
    </row>
    <row r="2519" ht="15.75" customHeight="1">
      <c r="B2519" s="2" t="s">
        <v>2989</v>
      </c>
      <c r="C2519" s="2" t="s">
        <v>2990</v>
      </c>
    </row>
    <row r="2520" ht="15.75" customHeight="1">
      <c r="A2520" s="2" t="s">
        <v>4</v>
      </c>
      <c r="B2520" s="2" t="str">
        <f>IFERROR(__xludf.DUMMYFUNCTION("CONCAT(""&lt;"",GOOGLETRANSLATE(B2519,""en"",""ar""))"),"&lt;كعكة الزبيب")</f>
        <v>&lt;كعكة الزبيب</v>
      </c>
      <c r="C2520" s="2" t="str">
        <f>IFERROR(__xludf.DUMMYFUNCTION("CONCAT(""&lt;"",GOOGLETRANSLATE(C2519,""en"",""ar""))"),"&lt;كعكة الزبيب مصنوعة من العنب المجفف ، المضغوط")</f>
        <v>&lt;كعكة الزبيب مصنوعة من العنب المجفف ، المضغوط</v>
      </c>
    </row>
    <row r="2521" ht="15.75" customHeight="1">
      <c r="A2521" s="1" t="s">
        <v>2991</v>
      </c>
      <c r="B2521" s="2" t="s">
        <v>2992</v>
      </c>
      <c r="C2521" s="2"/>
    </row>
    <row r="2522" ht="15.75" customHeight="1">
      <c r="B2522" s="2" t="s">
        <v>2993</v>
      </c>
      <c r="C2522" s="2" t="s">
        <v>2993</v>
      </c>
    </row>
    <row r="2523" ht="15.75" customHeight="1">
      <c r="A2523" s="2" t="s">
        <v>4</v>
      </c>
      <c r="B2523" s="2" t="str">
        <f>IFERROR(__xludf.DUMMYFUNCTION("CONCAT(""&lt;"",GOOGLETRANSLATE(B2522,""en"",""ar""))"),"&lt;الخصية")</f>
        <v>&lt;الخصية</v>
      </c>
      <c r="C2523" s="2" t="str">
        <f>IFERROR(__xludf.DUMMYFUNCTION("CONCAT(""&lt;"",GOOGLETRANSLATE(C2522,""en"",""ar""))"),"&lt;الخصية")</f>
        <v>&lt;الخصية</v>
      </c>
    </row>
    <row r="2524" ht="15.75" customHeight="1">
      <c r="A2524" s="1" t="s">
        <v>2994</v>
      </c>
      <c r="B2524" s="2" t="s">
        <v>2995</v>
      </c>
      <c r="C2524" s="2"/>
    </row>
    <row r="2525" ht="15.75" customHeight="1">
      <c r="B2525" s="2" t="s">
        <v>2996</v>
      </c>
      <c r="C2525" s="2" t="s">
        <v>2997</v>
      </c>
    </row>
    <row r="2526" ht="15.75" customHeight="1">
      <c r="A2526" s="2" t="s">
        <v>4</v>
      </c>
      <c r="B2526" s="2" t="str">
        <f>IFERROR(__xludf.DUMMYFUNCTION("CONCAT(""&lt;"",GOOGLETRANSLATE(B2525,""en"",""ar""))"),"&lt;تَجَمَّع")</f>
        <v>&lt;تَجَمَّع</v>
      </c>
      <c r="C2526" s="2" t="str">
        <f>IFERROR(__xludf.DUMMYFUNCTION("CONCAT(""&lt;"",GOOGLETRANSLATE(C2525,""en"",""ar""))"),"&lt;(1) الكتلة (على سبيل المثال من العنب ؛ FF 162،191) ؛ (2A) Eshcol ؛ أموريت (2 ب) Eshcol ؛ الوادي")</f>
        <v>&lt;(1) الكتلة (على سبيل المثال من العنب ؛ FF 162،191) ؛ (2A) Eshcol ؛ أموريت (2 ب) Eshcol ؛ الوادي</v>
      </c>
    </row>
    <row r="2527" ht="15.75" customHeight="1">
      <c r="A2527" s="1" t="s">
        <v>2998</v>
      </c>
      <c r="B2527" s="2" t="s">
        <v>2999</v>
      </c>
      <c r="C2527" s="2"/>
    </row>
    <row r="2528" ht="15.75" customHeight="1">
      <c r="B2528" s="2" t="s">
        <v>3000</v>
      </c>
      <c r="C2528" s="2" t="s">
        <v>2997</v>
      </c>
    </row>
    <row r="2529" ht="15.75" customHeight="1">
      <c r="A2529" s="2" t="s">
        <v>4</v>
      </c>
      <c r="B2529" s="2" t="str">
        <f>IFERROR(__xludf.DUMMYFUNCTION("CONCAT(""&lt;"",GOOGLETRANSLATE(B2528,""en"",""ar""))"),"&lt;eshcol")</f>
        <v>&lt;eshcol</v>
      </c>
      <c r="C2529" s="2" t="str">
        <f>IFERROR(__xludf.DUMMYFUNCTION("CONCAT(""&lt;"",GOOGLETRANSLATE(C2528,""en"",""ar""))"),"&lt;(1) الكتلة (على سبيل المثال من العنب ؛ FF 162،191) ؛ (2A) Eshcol ؛ أموريت (2 ب) Eshcol ؛ الوادي")</f>
        <v>&lt;(1) الكتلة (على سبيل المثال من العنب ؛ FF 162،191) ؛ (2A) Eshcol ؛ أموريت (2 ب) Eshcol ؛ الوادي</v>
      </c>
    </row>
    <row r="2530" ht="15.75" customHeight="1">
      <c r="A2530" s="1" t="s">
        <v>3001</v>
      </c>
      <c r="B2530" s="2" t="s">
        <v>3002</v>
      </c>
      <c r="C2530" s="2"/>
    </row>
    <row r="2531" ht="15.75" customHeight="1">
      <c r="B2531" s="2" t="s">
        <v>3003</v>
      </c>
      <c r="C2531" s="2" t="s">
        <v>3004</v>
      </c>
    </row>
    <row r="2532" ht="15.75" customHeight="1">
      <c r="A2532" s="2" t="s">
        <v>4</v>
      </c>
      <c r="B2532" s="2" t="str">
        <f>IFERROR(__xludf.DUMMYFUNCTION("CONCAT(""&lt;"",GOOGLETRANSLATE(B2531,""en"",""ar""))"),"&lt;أشكناز")</f>
        <v>&lt;أشكناز</v>
      </c>
      <c r="C2532" s="2" t="str">
        <f>IFERROR(__xludf.DUMMYFUNCTION("CONCAT(""&lt;"",GOOGLETRANSLATE(C2531,""en"",""ar""))"),"&lt;(أ) أشكناز ؛ ابن جومر سليل يافث. سلف [ب.] ؛ (ب) أشكناز ؛ المنطقة والناس. أرمينيا")</f>
        <v>&lt;(أ) أشكناز ؛ ابن جومر سليل يافث. سلف [ب.] ؛ (ب) أشكناز ؛ المنطقة والناس. أرمينيا</v>
      </c>
    </row>
    <row r="2533" ht="15.75" customHeight="1">
      <c r="A2533" s="1" t="s">
        <v>3005</v>
      </c>
      <c r="B2533" s="2" t="s">
        <v>3006</v>
      </c>
      <c r="C2533" s="2"/>
    </row>
    <row r="2534" ht="15.75" customHeight="1">
      <c r="B2534" s="2" t="s">
        <v>3007</v>
      </c>
      <c r="C2534" s="2" t="s">
        <v>3008</v>
      </c>
    </row>
    <row r="2535" ht="15.75" customHeight="1">
      <c r="A2535" s="2" t="s">
        <v>4</v>
      </c>
      <c r="B2535" s="2" t="str">
        <f>IFERROR(__xludf.DUMMYFUNCTION("CONCAT(""&lt;"",GOOGLETRANSLATE(B2534,""en"",""ar""))"),"&lt;هدية")</f>
        <v>&lt;هدية</v>
      </c>
      <c r="C2535" s="2" t="str">
        <f>IFERROR(__xludf.DUMMYFUNCTION("CONCAT(""&lt;"",GOOGLETRANSLATE(C2534,""en"",""ar""))"),"&lt;تحية")</f>
        <v>&lt;تحية</v>
      </c>
    </row>
    <row r="2536" ht="15.75" customHeight="1">
      <c r="A2536" s="1" t="s">
        <v>3009</v>
      </c>
      <c r="B2536" s="2" t="s">
        <v>3010</v>
      </c>
      <c r="C2536" s="2"/>
    </row>
    <row r="2537" ht="15.75" customHeight="1">
      <c r="B2537" s="2" t="s">
        <v>3011</v>
      </c>
      <c r="C2537" s="2" t="s">
        <v>3012</v>
      </c>
    </row>
    <row r="2538" ht="15.75" customHeight="1">
      <c r="A2538" s="2" t="s">
        <v>4</v>
      </c>
      <c r="B2538" s="2" t="str">
        <f>IFERROR(__xludf.DUMMYFUNCTION("CONCAT(""&lt;"",GOOGLETRANSLATE(B2537,""en"",""ar""))"),"&lt;Tamarisk (ق)")</f>
        <v>&lt;Tamarisk (ق)</v>
      </c>
      <c r="C2538" s="2" t="str">
        <f>IFERROR(__xludf.DUMMYFUNCTION("CONCAT(""&lt;"",GOOGLETRANSLATE(C2537,""en"",""ar""))"),"&lt;شجرة تاماريسك")</f>
        <v>&lt;شجرة تاماريسك</v>
      </c>
    </row>
    <row r="2539" ht="15.75" customHeight="1">
      <c r="A2539" s="1" t="s">
        <v>3013</v>
      </c>
      <c r="B2539" s="2" t="s">
        <v>3014</v>
      </c>
      <c r="C2539" s="2"/>
    </row>
    <row r="2540" ht="15.75" customHeight="1">
      <c r="B2540" s="2" t="s">
        <v>3015</v>
      </c>
      <c r="C2540" s="2" t="s">
        <v>3016</v>
      </c>
    </row>
    <row r="2541" ht="15.75" customHeight="1">
      <c r="A2541" s="2" t="s">
        <v>4</v>
      </c>
      <c r="B2541" s="2" t="str">
        <f>IFERROR(__xludf.DUMMYFUNCTION("CONCAT(""&lt;"",GOOGLETRANSLATE(B2540,""en"",""ar""))"),"&lt;يكون مذنبا")</f>
        <v>&lt;يكون مذنبا</v>
      </c>
      <c r="C2541" s="2" t="str">
        <f>IFERROR(__xludf.DUMMYFUNCTION("CONCAT(""&lt;"",GOOGLETRANSLATE(C2540,""en"",""ar""))"),"&lt;(أ) QAL ليكون ، تصبح مذنبا ؛ أن تكون مذنبا ، تعاني من العقاب ؛ (ب) HIF. لإعلان مذنب ؛ (ج) نيف. يعاني")</f>
        <v>&lt;(أ) QAL ليكون ، تصبح مذنبا ؛ أن تكون مذنبا ، تعاني من العقاب ؛ (ب) HIF. لإعلان مذنب ؛ (ج) نيف. يعاني</v>
      </c>
    </row>
    <row r="2542" ht="15.75" customHeight="1">
      <c r="A2542" s="1" t="s">
        <v>3017</v>
      </c>
      <c r="B2542" s="2" t="s">
        <v>3018</v>
      </c>
      <c r="C2542" s="2"/>
    </row>
    <row r="2543" ht="15.75" customHeight="1">
      <c r="B2543" s="2" t="s">
        <v>3019</v>
      </c>
      <c r="C2543" s="2" t="s">
        <v>3020</v>
      </c>
    </row>
    <row r="2544" ht="15.75" customHeight="1">
      <c r="A2544" s="2" t="s">
        <v>4</v>
      </c>
      <c r="B2544" s="2" t="str">
        <f>IFERROR(__xludf.DUMMYFUNCTION("CONCAT(""&lt;"",GOOGLETRANSLATE(B2543,""en"",""ar""))"),"&lt;الذنب (عرض)")</f>
        <v>&lt;الذنب (عرض)</v>
      </c>
      <c r="C2544" s="2" t="str">
        <f>IFERROR(__xludf.DUMMYFUNCTION("CONCAT(""&lt;"",GOOGLETRANSLATE(C2543,""en"",""ar""))"),"&lt;(أ) تقديم الذنب ؛ (ب) جريمة ؛ الذنب ذلك الذي يتصل به أي شخص بالذنب ؛")</f>
        <v>&lt;(أ) تقديم الذنب ؛ (ب) جريمة ؛ الذنب ذلك الذي يتصل به أي شخص بالذنب ؛</v>
      </c>
    </row>
    <row r="2545" ht="15.75" customHeight="1">
      <c r="A2545" s="1" t="s">
        <v>3021</v>
      </c>
      <c r="B2545" s="2" t="s">
        <v>3022</v>
      </c>
      <c r="C2545" s="2"/>
    </row>
    <row r="2546" ht="15.75" customHeight="1">
      <c r="B2546" s="2" t="s">
        <v>3023</v>
      </c>
      <c r="C2546" s="2" t="s">
        <v>3023</v>
      </c>
    </row>
    <row r="2547" ht="15.75" customHeight="1">
      <c r="A2547" s="2" t="s">
        <v>4</v>
      </c>
      <c r="B2547" s="2" t="str">
        <f>IFERROR(__xludf.DUMMYFUNCTION("CONCAT(""&lt;"",GOOGLETRANSLATE(B2546,""en"",""ar""))"),"&lt;مذنب")</f>
        <v>&lt;مذنب</v>
      </c>
      <c r="C2547" s="2" t="str">
        <f>IFERROR(__xludf.DUMMYFUNCTION("CONCAT(""&lt;"",GOOGLETRANSLATE(C2546,""en"",""ar""))"),"&lt;مذنب")</f>
        <v>&lt;مذنب</v>
      </c>
    </row>
    <row r="2548" ht="15.75" customHeight="1">
      <c r="A2548" s="1" t="s">
        <v>3024</v>
      </c>
      <c r="B2548" s="2" t="s">
        <v>3025</v>
      </c>
      <c r="C2548" s="2"/>
    </row>
    <row r="2549" ht="15.75" customHeight="1">
      <c r="B2549" s="2" t="s">
        <v>3026</v>
      </c>
      <c r="C2549" s="2" t="s">
        <v>3027</v>
      </c>
    </row>
    <row r="2550" ht="15.75" customHeight="1">
      <c r="A2550" s="2" t="s">
        <v>4</v>
      </c>
      <c r="B2550" s="2" t="str">
        <f>IFERROR(__xludf.DUMMYFUNCTION("CONCAT(""&lt;"",GOOGLETRANSLATE(B2549,""en"",""ar""))"),"&lt;الذنب")</f>
        <v>&lt;الذنب</v>
      </c>
      <c r="C2550" s="2" t="str">
        <f>IFERROR(__xludf.DUMMYFUNCTION("CONCAT(""&lt;"",GOOGLETRANSLATE(C2549,""en"",""ar""))"),"&lt;الشعور بالذنب ، والذنب ؛ تقديم الذنب هدية الاسترداد ؛ هدية التكفير")</f>
        <v>&lt;الشعور بالذنب ، والذنب ؛ تقديم الذنب هدية الاسترداد ؛ هدية التكفير</v>
      </c>
    </row>
    <row r="2551" ht="15.75" customHeight="1">
      <c r="A2551" s="1" t="s">
        <v>3028</v>
      </c>
      <c r="B2551" s="2" t="s">
        <v>3029</v>
      </c>
      <c r="C2551" s="2"/>
    </row>
    <row r="2552" ht="15.75" customHeight="1">
      <c r="B2552" s="2" t="s">
        <v>1480</v>
      </c>
      <c r="C2552" s="2" t="s">
        <v>3030</v>
      </c>
    </row>
    <row r="2553" ht="15.75" customHeight="1">
      <c r="A2553" s="2" t="s">
        <v>4</v>
      </c>
      <c r="B2553" s="2" t="str">
        <f>IFERROR(__xludf.DUMMYFUNCTION("CONCAT(""&lt;"",GOOGLETRANSLATE(B2552,""en"",""ar""))"),"&lt;قوي")</f>
        <v>&lt;قوي</v>
      </c>
      <c r="C2553" s="2" t="str">
        <f>IFERROR(__xludf.DUMMYFUNCTION("CONCAT(""&lt;"",GOOGLETRANSLATE(C2552,""en"",""ar""))"),"&lt;الرجال السمين؟")</f>
        <v>&lt;الرجال السمين؟</v>
      </c>
    </row>
    <row r="2554" ht="15.75" customHeight="1">
      <c r="A2554" s="1" t="s">
        <v>3031</v>
      </c>
      <c r="B2554" s="2" t="s">
        <v>3032</v>
      </c>
      <c r="C2554" s="2"/>
    </row>
    <row r="2555" ht="15.75" customHeight="1">
      <c r="B2555" s="2" t="s">
        <v>3033</v>
      </c>
      <c r="C2555" s="2" t="s">
        <v>3034</v>
      </c>
    </row>
    <row r="2556" ht="15.75" customHeight="1">
      <c r="A2556" s="2" t="s">
        <v>4</v>
      </c>
      <c r="B2556" s="2" t="str">
        <f>IFERROR(__xludf.DUMMYFUNCTION("CONCAT(""&lt;"",GOOGLETRANSLATE(B2555,""en"",""ar""))"),"&lt;يشاهد")</f>
        <v>&lt;يشاهد</v>
      </c>
      <c r="C2556" s="2" t="str">
        <f>IFERROR(__xludf.DUMMYFUNCTION("CONCAT(""&lt;"",GOOGLETRANSLATE(C2555,""en"",""ar""))"),"&lt;الحراسة الليلية")</f>
        <v>&lt;الحراسة الليلية</v>
      </c>
    </row>
    <row r="2557" ht="15.75" customHeight="1">
      <c r="A2557" s="1" t="s">
        <v>3035</v>
      </c>
      <c r="B2557" s="2" t="s">
        <v>3036</v>
      </c>
      <c r="C2557" s="2"/>
    </row>
    <row r="2558" ht="15.75" customHeight="1">
      <c r="B2558" s="2" t="s">
        <v>3037</v>
      </c>
      <c r="C2558" s="2" t="s">
        <v>3038</v>
      </c>
    </row>
    <row r="2559" ht="15.75" customHeight="1">
      <c r="A2559" s="2" t="s">
        <v>4</v>
      </c>
      <c r="B2559" s="2" t="str">
        <f>IFERROR(__xludf.DUMMYFUNCTION("CONCAT(""&lt;"",GOOGLETRANSLATE(B2558,""en"",""ar""))"),"&lt;بنية")</f>
        <v>&lt;بنية</v>
      </c>
      <c r="C2559" s="2" t="str">
        <f>IFERROR(__xludf.DUMMYFUNCTION("CONCAT(""&lt;"",GOOGLETRANSLATE(C2558,""en"",""ar""))"),"&lt;نافذة latticed")</f>
        <v>&lt;نافذة latticed</v>
      </c>
    </row>
    <row r="2560" ht="15.75" customHeight="1">
      <c r="A2560" s="1" t="s">
        <v>3039</v>
      </c>
      <c r="B2560" s="2" t="s">
        <v>3040</v>
      </c>
      <c r="C2560" s="2"/>
    </row>
    <row r="2561" ht="15.75" customHeight="1">
      <c r="B2561" s="2" t="s">
        <v>3041</v>
      </c>
      <c r="C2561" s="2" t="s">
        <v>3042</v>
      </c>
    </row>
    <row r="2562" ht="15.75" customHeight="1">
      <c r="A2562" s="2" t="s">
        <v>4</v>
      </c>
      <c r="B2562" s="2" t="str">
        <f>IFERROR(__xludf.DUMMYFUNCTION("CONCAT(""&lt;"",GOOGLETRANSLATE(B2561,""en"",""ar""))"),"&lt;Ashnah")</f>
        <v>&lt;Ashnah</v>
      </c>
      <c r="C2562" s="2" t="str">
        <f>IFERROR(__xludf.DUMMYFUNCTION("CONCAT(""&lt;"",GOOGLETRANSLATE(C2561,""en"",""ar""))"),"&lt;(أ) Ashnah ؛ بلدة؛ أراضي يهوذا (الغرب) ؛ (ب) Ashnah ؛ بلدة؛ أراضي يهوذا (الجنوب)")</f>
        <v>&lt;(أ) Ashnah ؛ بلدة؛ أراضي يهوذا (الغرب) ؛ (ب) Ashnah ؛ بلدة؛ أراضي يهوذا (الجنوب)</v>
      </c>
    </row>
    <row r="2563" ht="15.75" customHeight="1">
      <c r="A2563" s="1" t="s">
        <v>3043</v>
      </c>
      <c r="B2563" s="2" t="s">
        <v>3044</v>
      </c>
      <c r="C2563" s="2"/>
    </row>
    <row r="2564" ht="15.75" customHeight="1">
      <c r="B2564" s="2" t="s">
        <v>3045</v>
      </c>
      <c r="C2564" s="2" t="s">
        <v>3046</v>
      </c>
    </row>
    <row r="2565" ht="15.75" customHeight="1">
      <c r="A2565" s="2" t="s">
        <v>4</v>
      </c>
      <c r="B2565" s="2" t="str">
        <f>IFERROR(__xludf.DUMMYFUNCTION("CONCAT(""&lt;"",GOOGLETRANSLATE(B2564,""en"",""ar""))"),"&lt;إيشان")</f>
        <v>&lt;إيشان</v>
      </c>
      <c r="C2565" s="2" t="str">
        <f>IFERROR(__xludf.DUMMYFUNCTION("CONCAT(""&lt;"",GOOGLETRANSLATE(C2564,""en"",""ar""))"),"&lt;إيشانو ؛ موقع؛ أراضي يهوذا (الجبال)")</f>
        <v>&lt;إيشانو ؛ موقع؛ أراضي يهوذا (الجبال)</v>
      </c>
    </row>
    <row r="2566" ht="15.75" customHeight="1">
      <c r="A2566" s="1" t="s">
        <v>3047</v>
      </c>
      <c r="B2566" s="2" t="s">
        <v>3048</v>
      </c>
      <c r="C2566" s="2"/>
    </row>
    <row r="2567" ht="15.75" customHeight="1">
      <c r="B2567" s="2" t="s">
        <v>3049</v>
      </c>
      <c r="C2567" s="2" t="s">
        <v>3050</v>
      </c>
    </row>
    <row r="2568" ht="15.75" customHeight="1">
      <c r="A2568" s="2" t="s">
        <v>4</v>
      </c>
      <c r="B2568" s="2" t="str">
        <f>IFERROR(__xludf.DUMMYFUNCTION("CONCAT(""&lt;"",GOOGLETRANSLATE(B2567,""en"",""ar""))"),"&lt;ساحر")</f>
        <v>&lt;ساحر</v>
      </c>
      <c r="C2568" s="2" t="str">
        <f>IFERROR(__xludf.DUMMYFUNCTION("CONCAT(""&lt;"",GOOGLETRANSLATE(C2567,""en"",""ar""))"),"&lt;اشترى")</f>
        <v>&lt;اشترى</v>
      </c>
    </row>
    <row r="2569" ht="15.75" customHeight="1">
      <c r="A2569" s="1" t="s">
        <v>3051</v>
      </c>
      <c r="B2569" s="2" t="s">
        <v>3052</v>
      </c>
      <c r="C2569" s="2"/>
    </row>
    <row r="2570" ht="15.75" customHeight="1">
      <c r="B2570" s="2" t="s">
        <v>3049</v>
      </c>
      <c r="C2570" s="2" t="s">
        <v>3050</v>
      </c>
    </row>
    <row r="2571" ht="15.75" customHeight="1">
      <c r="A2571" s="2" t="s">
        <v>4</v>
      </c>
      <c r="B2571" s="2" t="str">
        <f>IFERROR(__xludf.DUMMYFUNCTION("CONCAT(""&lt;"",GOOGLETRANSLATE(B2570,""en"",""ar""))"),"&lt;ساحر")</f>
        <v>&lt;ساحر</v>
      </c>
      <c r="C2571" s="2" t="str">
        <f>IFERROR(__xludf.DUMMYFUNCTION("CONCAT(""&lt;"",GOOGLETRANSLATE(C2570,""en"",""ar""))"),"&lt;اشترى")</f>
        <v>&lt;اشترى</v>
      </c>
    </row>
    <row r="2572" ht="15.75" customHeight="1">
      <c r="A2572" s="1" t="s">
        <v>3053</v>
      </c>
      <c r="B2572" s="2" t="s">
        <v>3054</v>
      </c>
      <c r="C2572" s="2"/>
    </row>
    <row r="2573" ht="15.75" customHeight="1">
      <c r="B2573" s="2" t="s">
        <v>3055</v>
      </c>
      <c r="C2573" s="2" t="s">
        <v>3055</v>
      </c>
    </row>
    <row r="2574" ht="15.75" customHeight="1">
      <c r="A2574" s="2" t="s">
        <v>4</v>
      </c>
      <c r="B2574" s="2" t="str">
        <f>IFERROR(__xludf.DUMMYFUNCTION("CONCAT(""&lt;"",GOOGLETRANSLATE(B2573,""en"",""ar""))"),"&lt;ارتجاع")</f>
        <v>&lt;ارتجاع</v>
      </c>
      <c r="C2574" s="2" t="str">
        <f>IFERROR(__xludf.DUMMYFUNCTION("CONCAT(""&lt;"",GOOGLETRANSLATE(C2573,""en"",""ar""))"),"&lt;ارتجاع")</f>
        <v>&lt;ارتجاع</v>
      </c>
    </row>
    <row r="2575" ht="15.75" customHeight="1">
      <c r="A2575" s="1" t="s">
        <v>3056</v>
      </c>
      <c r="B2575" s="2" t="s">
        <v>3057</v>
      </c>
      <c r="C2575" s="2"/>
    </row>
    <row r="2576" ht="15.75" customHeight="1">
      <c r="B2576" s="2" t="s">
        <v>3058</v>
      </c>
      <c r="C2576" s="2" t="s">
        <v>3059</v>
      </c>
    </row>
    <row r="2577" ht="15.75" customHeight="1">
      <c r="A2577" s="2" t="s">
        <v>4</v>
      </c>
      <c r="B2577" s="2" t="str">
        <f>IFERROR(__xludf.DUMMYFUNCTION("CONCAT(""&lt;"",GOOGLETRANSLATE(B2576,""en"",""ar""))"),"&lt;أشبيناز")</f>
        <v>&lt;أشبيناز</v>
      </c>
      <c r="C2577" s="2" t="str">
        <f>IFERROR(__xludf.DUMMYFUNCTION("CONCAT(""&lt;"",GOOGLETRANSLATE(C2576,""en"",""ar""))"),"&lt;أشبيناز رئيس الخصي من الملك نيبوكادنيزر")</f>
        <v>&lt;أشبيناز رئيس الخصي من الملك نيبوكادنيزر</v>
      </c>
    </row>
    <row r="2578" ht="15.75" customHeight="1">
      <c r="A2578" s="1" t="s">
        <v>3060</v>
      </c>
      <c r="B2578" s="2" t="s">
        <v>3061</v>
      </c>
      <c r="C2578" s="2"/>
    </row>
    <row r="2579" ht="15.75" customHeight="1">
      <c r="B2579" s="2" t="s">
        <v>2989</v>
      </c>
      <c r="C2579" s="2" t="s">
        <v>3062</v>
      </c>
    </row>
    <row r="2580" ht="15.75" customHeight="1">
      <c r="A2580" s="2" t="s">
        <v>4</v>
      </c>
      <c r="B2580" s="2" t="str">
        <f>IFERROR(__xludf.DUMMYFUNCTION("CONCAT(""&lt;"",GOOGLETRANSLATE(B2579,""en"",""ar""))"),"&lt;كعكة الزبيب")</f>
        <v>&lt;كعكة الزبيب</v>
      </c>
      <c r="C2580" s="2" t="str">
        <f>IFERROR(__xludf.DUMMYFUNCTION("CONCAT(""&lt;"",GOOGLETRANSLATE(C2579,""en"",""ar""))"),"&lt;كعكة التاريخ مصنوعة من التواريخ والحبوب المطبوخة أو الخام")</f>
        <v>&lt;كعكة التاريخ مصنوعة من التواريخ والحبوب المطبوخة أو الخام</v>
      </c>
    </row>
    <row r="2581" ht="15.75" customHeight="1">
      <c r="A2581" s="1" t="s">
        <v>3063</v>
      </c>
      <c r="B2581" s="2" t="s">
        <v>3064</v>
      </c>
      <c r="C2581" s="2"/>
    </row>
    <row r="2582" ht="15.75" customHeight="1">
      <c r="B2582" s="2" t="s">
        <v>3065</v>
      </c>
      <c r="C2582" s="2" t="s">
        <v>3066</v>
      </c>
    </row>
    <row r="2583" ht="15.75" customHeight="1">
      <c r="A2583" s="2" t="s">
        <v>4</v>
      </c>
      <c r="B2583" s="2" t="str">
        <f>IFERROR(__xludf.DUMMYFUNCTION("CONCAT(""&lt;"",GOOGLETRANSLATE(B2582,""en"",""ar""))"),"&lt;رفض")</f>
        <v>&lt;رفض</v>
      </c>
      <c r="C2583" s="2" t="str">
        <f>IFERROR(__xludf.DUMMYFUNCTION("CONCAT(""&lt;"",GOOGLETRANSLATE(C2582,""en"",""ar""))"),"&lt;الرماد")</f>
        <v>&lt;الرماد</v>
      </c>
    </row>
    <row r="2584" ht="15.75" customHeight="1">
      <c r="A2584" s="1" t="s">
        <v>3067</v>
      </c>
      <c r="B2584" s="2" t="s">
        <v>3068</v>
      </c>
      <c r="C2584" s="2"/>
    </row>
    <row r="2585" ht="15.75" customHeight="1">
      <c r="B2585" s="2" t="s">
        <v>3069</v>
      </c>
      <c r="C2585" s="2" t="s">
        <v>3070</v>
      </c>
    </row>
    <row r="2586" ht="15.75" customHeight="1">
      <c r="A2586" s="2" t="s">
        <v>4</v>
      </c>
      <c r="B2586" s="2" t="str">
        <f>IFERROR(__xludf.DUMMYFUNCTION("CONCAT(""&lt;"",GOOGLETRANSLATE(B2585,""en"",""ar""))"),"&lt;أشكلون")</f>
        <v>&lt;أشكلون</v>
      </c>
      <c r="C2586" s="2" t="str">
        <f>IFERROR(__xludf.DUMMYFUNCTION("CONCAT(""&lt;"",GOOGLETRANSLATE(C2585,""en"",""ar""))"),"&lt;أشكلون بلدة في فلسفة")</f>
        <v>&lt;أشكلون بلدة في فلسفة</v>
      </c>
    </row>
    <row r="2587" ht="15.75" customHeight="1">
      <c r="A2587" s="1" t="s">
        <v>3071</v>
      </c>
      <c r="B2587" s="2" t="s">
        <v>3072</v>
      </c>
      <c r="C2587" s="2"/>
    </row>
    <row r="2588" ht="15.75" customHeight="1">
      <c r="B2588" s="2" t="s">
        <v>3073</v>
      </c>
      <c r="C2588" s="2" t="s">
        <v>3074</v>
      </c>
    </row>
    <row r="2589" ht="15.75" customHeight="1">
      <c r="A2589" s="2" t="s">
        <v>4</v>
      </c>
      <c r="B2589" s="2" t="str">
        <f>IFERROR(__xludf.DUMMYFUNCTION("CONCAT(""&lt;"",GOOGLETRANSLATE(B2588,""en"",""ar""))"),"&lt;أشكلونيت")</f>
        <v>&lt;أشكلونيت</v>
      </c>
      <c r="C2589" s="2" t="str">
        <f>IFERROR(__xludf.DUMMYFUNCTION("CONCAT(""&lt;"",GOOGLETRANSLATE(C2588,""en"",""ar""))"),"&lt;أشكلونيت ساكن أشكلون")</f>
        <v>&lt;أشكلونيت ساكن أشكلون</v>
      </c>
    </row>
    <row r="2590" ht="15.75" customHeight="1">
      <c r="A2590" s="1" t="s">
        <v>3075</v>
      </c>
      <c r="B2590" s="2" t="s">
        <v>3076</v>
      </c>
      <c r="C2590" s="2"/>
    </row>
    <row r="2591" ht="15.75" customHeight="1">
      <c r="B2591" s="2" t="s">
        <v>3077</v>
      </c>
      <c r="C2591" s="2" t="s">
        <v>3078</v>
      </c>
    </row>
    <row r="2592" ht="15.75" customHeight="1">
      <c r="A2592" s="2" t="s">
        <v>4</v>
      </c>
      <c r="B2592" s="2" t="str">
        <f>IFERROR(__xludf.DUMMYFUNCTION("CONCAT(""&lt;"",GOOGLETRANSLATE(B2591,""en"",""ar""))"),"&lt;أن يبارك")</f>
        <v>&lt;أن يبارك</v>
      </c>
      <c r="C2592" s="2" t="str">
        <f>IFERROR(__xludf.DUMMYFUNCTION("CONCAT(""&lt;"",GOOGLETRANSLATE(C2591,""en"",""ar""))"),"&lt;(أ) QAL للذهاب مباشرة ؛ (ب) بي. للذهاب مباشرة ؛ (ج) PI. لترشد؛ (د) PI. لنطق سعيد ، اتصل بمبارك. (هـ) بو. لتوجيه (و) بو. ليكون وضوحا سعيدا ، المباركة")</f>
        <v>&lt;(أ) QAL للذهاب مباشرة ؛ (ب) بي. للذهاب مباشرة ؛ (ج) PI. لترشد؛ (د) PI. لنطق سعيد ، اتصل بمبارك. (هـ) بو. لتوجيه (و) بو. ليكون وضوحا سعيدا ، المباركة</v>
      </c>
    </row>
    <row r="2593" ht="15.75" customHeight="1">
      <c r="A2593" s="1" t="s">
        <v>3079</v>
      </c>
      <c r="B2593" s="2" t="s">
        <v>3080</v>
      </c>
      <c r="C2593" s="2"/>
    </row>
    <row r="2594" ht="15.75" customHeight="1">
      <c r="B2594" s="2" t="s">
        <v>3081</v>
      </c>
      <c r="C2594" s="2" t="s">
        <v>3082</v>
      </c>
    </row>
    <row r="2595" ht="15.75" customHeight="1">
      <c r="A2595" s="2" t="s">
        <v>4</v>
      </c>
      <c r="B2595" s="2" t="str">
        <f>IFERROR(__xludf.DUMMYFUNCTION("CONCAT(""&lt;"",GOOGLETRANSLATE(B2594,""en"",""ar""))"),"&lt;أيّ")</f>
        <v>&lt;أيّ</v>
      </c>
      <c r="C2595" s="2" t="str">
        <f>IFERROR(__xludf.DUMMYFUNCTION("CONCAT(""&lt;"",GOOGLETRANSLATE(C2594,""en"",""ar""))"),"&lt;جسيم البند النسبي ، والاقتران")</f>
        <v>&lt;جسيم البند النسبي ، والاقتران</v>
      </c>
    </row>
    <row r="2596" ht="15.75" customHeight="1">
      <c r="A2596" s="1" t="s">
        <v>3083</v>
      </c>
      <c r="B2596" s="2" t="s">
        <v>3084</v>
      </c>
      <c r="C2596" s="2"/>
    </row>
    <row r="2597" ht="15.75" customHeight="1">
      <c r="B2597" s="2" t="s">
        <v>3085</v>
      </c>
      <c r="C2597" s="2" t="s">
        <v>3082</v>
      </c>
    </row>
    <row r="2598" ht="15.75" customHeight="1">
      <c r="A2598" s="2" t="s">
        <v>4</v>
      </c>
      <c r="B2598" s="2" t="str">
        <f>IFERROR(__xludf.DUMMYFUNCTION("CONCAT(""&lt;"",GOOGLETRANSLATE(B2597,""en"",""ar""))"),"&lt;بحيث")</f>
        <v>&lt;بحيث</v>
      </c>
      <c r="C2598" s="2" t="str">
        <f>IFERROR(__xludf.DUMMYFUNCTION("CONCAT(""&lt;"",GOOGLETRANSLATE(C2597,""en"",""ar""))"),"&lt;جسيم البند النسبي ، والاقتران")</f>
        <v>&lt;جسيم البند النسبي ، والاقتران</v>
      </c>
    </row>
    <row r="2599" ht="15.75" customHeight="1">
      <c r="A2599" s="1" t="s">
        <v>3086</v>
      </c>
      <c r="B2599" s="2" t="s">
        <v>3087</v>
      </c>
      <c r="C2599" s="2"/>
    </row>
    <row r="2600" ht="15.75" customHeight="1">
      <c r="B2600" s="2" t="s">
        <v>3088</v>
      </c>
      <c r="C2600" s="2" t="s">
        <v>3082</v>
      </c>
    </row>
    <row r="2601" ht="15.75" customHeight="1">
      <c r="A2601" s="2" t="s">
        <v>4</v>
      </c>
      <c r="B2601" s="2" t="str">
        <f>IFERROR(__xludf.DUMMYFUNCTION("CONCAT(""&lt;"",GOOGLETRANSLATE(B2600,""en"",""ar""))"),"&lt;من أي")</f>
        <v>&lt;من أي</v>
      </c>
      <c r="C2601" s="2" t="str">
        <f>IFERROR(__xludf.DUMMYFUNCTION("CONCAT(""&lt;"",GOOGLETRANSLATE(C2600,""en"",""ar""))"),"&lt;جسيم البند النسبي ، والاقتران")</f>
        <v>&lt;جسيم البند النسبي ، والاقتران</v>
      </c>
    </row>
    <row r="2602" ht="15.75" customHeight="1">
      <c r="A2602" s="1" t="s">
        <v>3089</v>
      </c>
      <c r="B2602" s="2" t="s">
        <v>3090</v>
      </c>
      <c r="C2602" s="2"/>
    </row>
    <row r="2603" ht="15.75" customHeight="1">
      <c r="B2603" s="2" t="s">
        <v>3091</v>
      </c>
      <c r="C2603" s="2" t="s">
        <v>3082</v>
      </c>
    </row>
    <row r="2604" ht="15.75" customHeight="1">
      <c r="A2604" s="2" t="s">
        <v>4</v>
      </c>
      <c r="B2604" s="2" t="str">
        <f>IFERROR(__xludf.DUMMYFUNCTION("CONCAT(""&lt;"",GOOGLETRANSLATE(B2603,""en"",""ar""))"),"&lt;كما التي")</f>
        <v>&lt;كما التي</v>
      </c>
      <c r="C2604" s="2" t="str">
        <f>IFERROR(__xludf.DUMMYFUNCTION("CONCAT(""&lt;"",GOOGLETRANSLATE(C2603,""en"",""ar""))"),"&lt;جسيم البند النسبي ، والاقتران")</f>
        <v>&lt;جسيم البند النسبي ، والاقتران</v>
      </c>
    </row>
    <row r="2605" ht="15.75" customHeight="1">
      <c r="A2605" s="1" t="s">
        <v>3092</v>
      </c>
      <c r="B2605" s="2" t="s">
        <v>3093</v>
      </c>
      <c r="C2605" s="2"/>
    </row>
    <row r="2606" ht="15.75" customHeight="1">
      <c r="B2606" s="2" t="s">
        <v>3094</v>
      </c>
      <c r="C2606" s="2" t="s">
        <v>3095</v>
      </c>
    </row>
    <row r="2607" ht="15.75" customHeight="1">
      <c r="A2607" s="2" t="s">
        <v>4</v>
      </c>
      <c r="B2607" s="2" t="str">
        <f>IFERROR(__xludf.DUMMYFUNCTION("CONCAT(""&lt;"",GOOGLETRANSLATE(B2606,""en"",""ar""))"),"&lt;مبروك")</f>
        <v>&lt;مبروك</v>
      </c>
      <c r="C2607" s="2" t="str">
        <f>IFERROR(__xludf.DUMMYFUNCTION("CONCAT(""&lt;"",GOOGLETRANSLATE(C2606,""en"",""ar""))"),"&lt;سعادة")</f>
        <v>&lt;سعادة</v>
      </c>
    </row>
    <row r="2608" ht="15.75" customHeight="1">
      <c r="A2608" s="1" t="s">
        <v>3096</v>
      </c>
      <c r="B2608" s="2" t="s">
        <v>3097</v>
      </c>
      <c r="C2608" s="2"/>
    </row>
    <row r="2609" ht="15.75" customHeight="1">
      <c r="B2609" s="2" t="s">
        <v>3098</v>
      </c>
      <c r="C2609" s="2" t="s">
        <v>3099</v>
      </c>
    </row>
    <row r="2610" ht="15.75" customHeight="1">
      <c r="A2610" s="2" t="s">
        <v>4</v>
      </c>
      <c r="B2610" s="2" t="str">
        <f>IFERROR(__xludf.DUMMYFUNCTION("CONCAT(""&lt;"",GOOGLETRANSLATE(B2609,""en"",""ar""))"),"&lt;آشر")</f>
        <v>&lt;آشر</v>
      </c>
      <c r="C2610" s="2" t="str">
        <f>IFERROR(__xludf.DUMMYFUNCTION("CONCAT(""&lt;"",GOOGLETRANSLATE(C2609,""en"",""ar""))"),"&lt;(أ) آشر ؛ ابن يعقوب مؤسس قبيلة إسرائيل ؛ (ب) آشر ؛ موقع")</f>
        <v>&lt;(أ) آشر ؛ ابن يعقوب مؤسس قبيلة إسرائيل ؛ (ب) آشر ؛ موقع</v>
      </c>
    </row>
    <row r="2611" ht="15.75" customHeight="1">
      <c r="A2611" s="1" t="s">
        <v>3100</v>
      </c>
      <c r="B2611" s="2" t="s">
        <v>3101</v>
      </c>
      <c r="C2611" s="2"/>
    </row>
    <row r="2612" ht="15.75" customHeight="1">
      <c r="B2612" s="2" t="s">
        <v>3102</v>
      </c>
      <c r="C2612" s="2" t="s">
        <v>3095</v>
      </c>
    </row>
    <row r="2613" ht="15.75" customHeight="1">
      <c r="A2613" s="2" t="s">
        <v>4</v>
      </c>
      <c r="B2613" s="2" t="str">
        <f>IFERROR(__xludf.DUMMYFUNCTION("CONCAT(""&lt;"",GOOGLETRANSLATE(B2612,""en"",""ar""))"),"&lt;سعيد")</f>
        <v>&lt;سعيد</v>
      </c>
      <c r="C2613" s="2" t="str">
        <f>IFERROR(__xludf.DUMMYFUNCTION("CONCAT(""&lt;"",GOOGLETRANSLATE(C2612,""en"",""ar""))"),"&lt;سعادة")</f>
        <v>&lt;سعادة</v>
      </c>
    </row>
    <row r="2614" ht="15.75" customHeight="1">
      <c r="A2614" s="1" t="s">
        <v>3103</v>
      </c>
      <c r="B2614" s="2" t="s">
        <v>3104</v>
      </c>
      <c r="C2614" s="2"/>
    </row>
    <row r="2615" ht="15.75" customHeight="1">
      <c r="B2615" s="2" t="s">
        <v>3105</v>
      </c>
      <c r="C2615" s="2" t="s">
        <v>3078</v>
      </c>
    </row>
    <row r="2616" ht="15.75" customHeight="1">
      <c r="A2616" s="2" t="s">
        <v>4</v>
      </c>
      <c r="B2616" s="2" t="str">
        <f>IFERROR(__xludf.DUMMYFUNCTION("CONCAT(""&lt;"",GOOGLETRANSLATE(B2615,""en"",""ar""))"),"&lt;خطوة")</f>
        <v>&lt;خطوة</v>
      </c>
      <c r="C2616" s="2" t="str">
        <f>IFERROR(__xludf.DUMMYFUNCTION("CONCAT(""&lt;"",GOOGLETRANSLATE(C2615,""en"",""ar""))"),"&lt;(أ) QAL للذهاب مباشرة ؛ (ب) بي. للذهاب مباشرة ؛ (ج) PI. لترشد؛ (د) PI. لنطق سعيد ، اتصل بمبارك. (هـ) بو. لتوجيه (و) بو. ليكون وضوحا سعيدا ، المباركة")</f>
        <v>&lt;(أ) QAL للذهاب مباشرة ؛ (ب) بي. للذهاب مباشرة ؛ (ج) PI. لترشد؛ (د) PI. لنطق سعيد ، اتصل بمبارك. (هـ) بو. لتوجيه (و) بو. ليكون وضوحا سعيدا ، المباركة</v>
      </c>
    </row>
    <row r="2617" ht="15.75" customHeight="1">
      <c r="A2617" s="1" t="s">
        <v>3106</v>
      </c>
      <c r="B2617" s="2" t="s">
        <v>3104</v>
      </c>
      <c r="C2617" s="2"/>
    </row>
    <row r="2618" ht="15.75" customHeight="1">
      <c r="B2618" s="2" t="s">
        <v>3105</v>
      </c>
      <c r="C2618" s="2" t="s">
        <v>3078</v>
      </c>
    </row>
    <row r="2619" ht="15.75" customHeight="1">
      <c r="A2619" s="2" t="s">
        <v>4</v>
      </c>
      <c r="B2619" s="2" t="str">
        <f>IFERROR(__xludf.DUMMYFUNCTION("CONCAT(""&lt;"",GOOGLETRANSLATE(B2618,""en"",""ar""))"),"&lt;خطوة")</f>
        <v>&lt;خطوة</v>
      </c>
      <c r="C2619" s="2" t="str">
        <f>IFERROR(__xludf.DUMMYFUNCTION("CONCAT(""&lt;"",GOOGLETRANSLATE(C2618,""en"",""ar""))"),"&lt;(أ) QAL للذهاب مباشرة ؛ (ب) بي. للذهاب مباشرة ؛ (ج) PI. لترشد؛ (د) PI. لنطق سعيد ، اتصل بمبارك. (هـ) بو. لتوجيه (و) بو. ليكون وضوحا سعيدا ، المباركة")</f>
        <v>&lt;(أ) QAL للذهاب مباشرة ؛ (ب) بي. للذهاب مباشرة ؛ (ج) PI. لترشد؛ (د) PI. لنطق سعيد ، اتصل بمبارك. (هـ) بو. لتوجيه (و) بو. ليكون وضوحا سعيدا ، المباركة</v>
      </c>
    </row>
    <row r="2620" ht="15.75" customHeight="1">
      <c r="A2620" s="1" t="s">
        <v>3107</v>
      </c>
      <c r="B2620" s="2" t="s">
        <v>3108</v>
      </c>
      <c r="C2620" s="2"/>
    </row>
    <row r="2621" ht="15.75" customHeight="1">
      <c r="B2621" s="2" t="s">
        <v>3109</v>
      </c>
      <c r="C2621" s="2" t="s">
        <v>3110</v>
      </c>
    </row>
    <row r="2622" ht="15.75" customHeight="1">
      <c r="A2622" s="2" t="s">
        <v>4</v>
      </c>
      <c r="B2622" s="2" t="str">
        <f>IFERROR(__xludf.DUMMYFUNCTION("CONCAT(""&lt;"",GOOGLETRANSLATE(B2621,""en"",""ar""))"),"&lt;خشب البقس")</f>
        <v>&lt;خشب البقس</v>
      </c>
      <c r="C2622" s="2" t="str">
        <f>IFERROR(__xludf.DUMMYFUNCTION("CONCAT(""&lt;"",GOOGLETRANSLATE(C2621,""en"",""ar""))"),"&lt;(خطوة؛ (ب) شجرة مربع ، cypress")</f>
        <v>&lt;(خطوة؛ (ب) شجرة مربع ، cypress</v>
      </c>
    </row>
    <row r="2623" ht="15.75" customHeight="1">
      <c r="A2623" s="1" t="s">
        <v>3111</v>
      </c>
      <c r="B2623" s="2" t="s">
        <v>3112</v>
      </c>
      <c r="C2623" s="2"/>
    </row>
    <row r="2624" ht="15.75" customHeight="1">
      <c r="B2624" s="2" t="s">
        <v>3113</v>
      </c>
      <c r="C2624" s="2" t="s">
        <v>3114</v>
      </c>
    </row>
    <row r="2625" ht="15.75" customHeight="1">
      <c r="A2625" s="2" t="s">
        <v>4</v>
      </c>
      <c r="B2625" s="2" t="str">
        <f>IFERROR(__xludf.DUMMYFUNCTION("CONCAT(""&lt;"",GOOGLETRANSLATE(B2624,""en"",""ar""))"),"&lt;أساريل")</f>
        <v>&lt;أساريل</v>
      </c>
      <c r="C2625" s="2" t="str">
        <f>IFERROR(__xludf.DUMMYFUNCTION("CONCAT(""&lt;"",GOOGLETRANSLATE(C2624,""en"",""ar""))"),"&lt;أساريل نجل Jehalledeel. قبيلة يهوذا")</f>
        <v>&lt;أساريل نجل Jehalledeel. قبيلة يهوذا</v>
      </c>
    </row>
    <row r="2626" ht="15.75" customHeight="1">
      <c r="A2626" s="1" t="s">
        <v>3115</v>
      </c>
      <c r="B2626" s="2" t="s">
        <v>3116</v>
      </c>
      <c r="C2626" s="2"/>
    </row>
    <row r="2627" ht="15.75" customHeight="1">
      <c r="B2627" s="2" t="s">
        <v>3117</v>
      </c>
      <c r="C2627" s="2" t="s">
        <v>3118</v>
      </c>
    </row>
    <row r="2628" ht="15.75" customHeight="1">
      <c r="A2628" s="2" t="s">
        <v>4</v>
      </c>
      <c r="B2628" s="2" t="str">
        <f>IFERROR(__xludf.DUMMYFUNCTION("CONCAT(""&lt;"",GOOGLETRANSLATE(B2627,""en"",""ar""))"),"&lt;اشاريله")</f>
        <v>&lt;اشاريله</v>
      </c>
      <c r="C2628" s="2" t="str">
        <f>IFERROR(__xludf.DUMMYFUNCTION("CONCAT(""&lt;"",GOOGLETRANSLATE(C2627,""en"",""ar""))"),"&lt;أساريله ابن أساف. مغني المعبد وقت الملك داود")</f>
        <v>&lt;أساريله ابن أساف. مغني المعبد وقت الملك داود</v>
      </c>
    </row>
    <row r="2629" ht="15.75" customHeight="1">
      <c r="A2629" s="1" t="s">
        <v>3119</v>
      </c>
      <c r="B2629" s="2" t="s">
        <v>3120</v>
      </c>
      <c r="C2629" s="2"/>
    </row>
    <row r="2630" ht="15.75" customHeight="1">
      <c r="B2630" s="2" t="s">
        <v>3121</v>
      </c>
      <c r="C2630" s="2" t="s">
        <v>3122</v>
      </c>
    </row>
    <row r="2631" ht="15.75" customHeight="1">
      <c r="A2631" s="2" t="s">
        <v>4</v>
      </c>
      <c r="B2631" s="2" t="str">
        <f>IFERROR(__xludf.DUMMYFUNCTION("CONCAT(""&lt;"",GOOGLETRANSLATE(B2630,""en"",""ar""))"),"&lt;asherah")</f>
        <v>&lt;asherah</v>
      </c>
      <c r="C2631" s="2" t="str">
        <f>IFERROR(__xludf.DUMMYFUNCTION("CONCAT(""&lt;"",GOOGLETRANSLATE(C2630,""en"",""ar""))"),"&lt;asherah إلهة القطب الخشبي المقدس ، أقام بالقرب من المذبح")</f>
        <v>&lt;asherah إلهة القطب الخشبي المقدس ، أقام بالقرب من المذبح</v>
      </c>
    </row>
    <row r="2632" ht="15.75" customHeight="1">
      <c r="A2632" s="1" t="s">
        <v>3123</v>
      </c>
      <c r="B2632" s="2" t="s">
        <v>3124</v>
      </c>
      <c r="C2632" s="2"/>
    </row>
    <row r="2633" ht="15.75" customHeight="1">
      <c r="B2633" s="2" t="s">
        <v>3125</v>
      </c>
      <c r="C2633" s="2" t="s">
        <v>3126</v>
      </c>
    </row>
    <row r="2634" ht="15.75" customHeight="1">
      <c r="A2634" s="2" t="s">
        <v>4</v>
      </c>
      <c r="B2634" s="2" t="str">
        <f>IFERROR(__xludf.DUMMYFUNCTION("CONCAT(""&lt;"",GOOGLETRANSLATE(B2633,""en"",""ar""))"),"&lt;Asherite")</f>
        <v>&lt;Asherite</v>
      </c>
      <c r="C2634" s="2" t="str">
        <f>IFERROR(__xludf.DUMMYFUNCTION("CONCAT(""&lt;"",GOOGLETRANSLATE(C2633,""en"",""ar""))"),"&lt;Asherite عضو في قبيلة آشر")</f>
        <v>&lt;Asherite عضو في قبيلة آشر</v>
      </c>
    </row>
    <row r="2635" ht="15.75" customHeight="1">
      <c r="A2635" s="1" t="s">
        <v>3127</v>
      </c>
      <c r="B2635" s="2" t="s">
        <v>3128</v>
      </c>
      <c r="C2635" s="2"/>
    </row>
    <row r="2636" ht="15.75" customHeight="1">
      <c r="B2636" s="2" t="s">
        <v>3129</v>
      </c>
      <c r="C2636" s="2" t="s">
        <v>3130</v>
      </c>
    </row>
    <row r="2637" ht="15.75" customHeight="1">
      <c r="A2637" s="2" t="s">
        <v>4</v>
      </c>
      <c r="B2637" s="2" t="str">
        <f>IFERROR(__xludf.DUMMYFUNCTION("CONCAT(""&lt;"",GOOGLETRANSLATE(B2636,""en"",""ar""))"),"&lt;أسريل")</f>
        <v>&lt;أسريل</v>
      </c>
      <c r="C2637" s="2" t="str">
        <f>IFERROR(__xludf.DUMMYFUNCTION("CONCAT(""&lt;"",GOOGLETRANSLATE(C2636,""en"",""ar""))"),"&lt;أسريل ابن جيليد. قبيلة ماناس")</f>
        <v>&lt;أسريل ابن جيليد. قبيلة ماناس</v>
      </c>
    </row>
    <row r="2638" ht="15.75" customHeight="1">
      <c r="A2638" s="1" t="s">
        <v>3131</v>
      </c>
      <c r="B2638" s="2" t="s">
        <v>3132</v>
      </c>
      <c r="C2638" s="2"/>
    </row>
    <row r="2639" ht="15.75" customHeight="1">
      <c r="B2639" s="2" t="s">
        <v>3133</v>
      </c>
      <c r="C2639" s="2" t="s">
        <v>3134</v>
      </c>
    </row>
    <row r="2640" ht="15.75" customHeight="1">
      <c r="A2640" s="2" t="s">
        <v>4</v>
      </c>
      <c r="B2640" s="2" t="str">
        <f>IFERROR(__xludf.DUMMYFUNCTION("CONCAT(""&lt;"",GOOGLETRANSLATE(B2639,""en"",""ar""))"),"&lt;Asrielite")</f>
        <v>&lt;Asrielite</v>
      </c>
      <c r="C2640" s="2" t="str">
        <f>IFERROR(__xludf.DUMMYFUNCTION("CONCAT(""&lt;"",GOOGLETRANSLATE(C2639,""en"",""ar""))"),"&lt;asrielite سليل أسرييل ، ابن جيليد ؛ قبيلة ماناس")</f>
        <v>&lt;asrielite سليل أسرييل ، ابن جيليد ؛ قبيلة ماناس</v>
      </c>
    </row>
    <row r="2641" ht="15.75" customHeight="1">
      <c r="A2641" s="1" t="s">
        <v>3135</v>
      </c>
      <c r="B2641" s="2" t="s">
        <v>3136</v>
      </c>
      <c r="C2641" s="2"/>
    </row>
    <row r="2642" ht="15.75" customHeight="1">
      <c r="B2642" s="2" t="s">
        <v>3137</v>
      </c>
    </row>
    <row r="2643" ht="15.75" customHeight="1">
      <c r="A2643" s="2" t="s">
        <v>4</v>
      </c>
      <c r="B2643" s="2" t="str">
        <f>IFERROR(__xludf.DUMMYFUNCTION("CONCAT(""&lt;"",GOOGLETRANSLATE(B2642,""en"",""ar""))"),"&lt;حائط")</f>
        <v>&lt;حائط</v>
      </c>
      <c r="C2643" s="2"/>
    </row>
    <row r="2644" ht="15.75" customHeight="1">
      <c r="A2644" s="1" t="s">
        <v>3138</v>
      </c>
      <c r="B2644" s="2" t="s">
        <v>3139</v>
      </c>
      <c r="C2644" s="2"/>
    </row>
    <row r="2645" ht="15.75" customHeight="1">
      <c r="B2645" s="2" t="s">
        <v>3140</v>
      </c>
      <c r="C2645" s="2" t="s">
        <v>3141</v>
      </c>
    </row>
    <row r="2646" ht="15.75" customHeight="1">
      <c r="A2646" s="2" t="s">
        <v>4</v>
      </c>
      <c r="B2646" s="2" t="str">
        <f>IFERROR(__xludf.DUMMYFUNCTION("CONCAT(""&lt;"",GOOGLETRANSLATE(B2645,""en"",""ar""))"),"&lt;eshtaol")</f>
        <v>&lt;eshtaol</v>
      </c>
      <c r="C2646" s="2" t="str">
        <f>IFERROR(__xludf.DUMMYFUNCTION("CONCAT(""&lt;"",GOOGLETRANSLATE(C2645,""en"",""ar""))"),"&lt;eshtaol ؛ بلدة؛ إقليم دان")</f>
        <v>&lt;eshtaol ؛ بلدة؛ إقليم دان</v>
      </c>
    </row>
    <row r="2647" ht="15.75" customHeight="1">
      <c r="A2647" s="1" t="s">
        <v>3142</v>
      </c>
      <c r="B2647" s="2" t="s">
        <v>3143</v>
      </c>
      <c r="C2647" s="2"/>
    </row>
    <row r="2648" ht="15.75" customHeight="1">
      <c r="B2648" s="2" t="s">
        <v>3144</v>
      </c>
      <c r="C2648" s="2" t="s">
        <v>3145</v>
      </c>
    </row>
    <row r="2649" ht="15.75" customHeight="1">
      <c r="A2649" s="2" t="s">
        <v>4</v>
      </c>
      <c r="B2649" s="2" t="str">
        <f>IFERROR(__xludf.DUMMYFUNCTION("CONCAT(""&lt;"",GOOGLETRANSLATE(B2648,""en"",""ar""))"),"&lt;eshtaoLite")</f>
        <v>&lt;eshtaoLite</v>
      </c>
      <c r="C2649" s="2" t="str">
        <f>IFERROR(__xludf.DUMMYFUNCTION("CONCAT(""&lt;"",GOOGLETRANSLATE(C2648,""en"",""ar""))"),"&lt;eshtaoLite ساكن eshtaol")</f>
        <v>&lt;eshtaoLite ساكن eshtaol</v>
      </c>
    </row>
    <row r="2650" ht="15.75" customHeight="1">
      <c r="A2650" s="1" t="s">
        <v>3146</v>
      </c>
      <c r="B2650" s="2" t="s">
        <v>3147</v>
      </c>
      <c r="C2650" s="2"/>
    </row>
    <row r="2651" ht="15.75" customHeight="1">
      <c r="B2651" s="2" t="s">
        <v>3148</v>
      </c>
    </row>
    <row r="2652" ht="15.75" customHeight="1">
      <c r="A2652" s="2" t="s">
        <v>4</v>
      </c>
      <c r="B2652" s="2" t="str">
        <f>IFERROR(__xludf.DUMMYFUNCTION("CONCAT(""&lt;"",GOOGLETRANSLATE(B2651,""en"",""ar""))"),"&lt;الفتنة")</f>
        <v>&lt;الفتنة</v>
      </c>
      <c r="C2652" s="2"/>
    </row>
    <row r="2653" ht="15.75" customHeight="1">
      <c r="A2653" s="1" t="s">
        <v>3149</v>
      </c>
      <c r="B2653" s="2" t="s">
        <v>3150</v>
      </c>
      <c r="C2653" s="2"/>
    </row>
    <row r="2654" ht="15.75" customHeight="1">
      <c r="B2654" s="2" t="s">
        <v>3151</v>
      </c>
      <c r="C2654" s="2" t="s">
        <v>3152</v>
      </c>
    </row>
    <row r="2655" ht="15.75" customHeight="1">
      <c r="A2655" s="2" t="s">
        <v>4</v>
      </c>
      <c r="B2655" s="2" t="str">
        <f>IFERROR(__xludf.DUMMYFUNCTION("CONCAT(""&lt;"",GOOGLETRANSLATE(B2654,""en"",""ar""))"),"&lt;ايشتون")</f>
        <v>&lt;ايشتون</v>
      </c>
      <c r="C2655" s="2" t="str">
        <f>IFERROR(__xludf.DUMMYFUNCTION("CONCAT(""&lt;"",GOOGLETRANSLATE(C2654,""en"",""ar""))"),"&lt;ايشتون ابن مهير قبيلة يهوذا")</f>
        <v>&lt;ايشتون ابن مهير قبيلة يهوذا</v>
      </c>
    </row>
    <row r="2656" ht="15.75" customHeight="1">
      <c r="A2656" s="1" t="s">
        <v>3153</v>
      </c>
      <c r="B2656" s="2" t="s">
        <v>3154</v>
      </c>
      <c r="C2656" s="2"/>
    </row>
    <row r="2657" ht="15.75" customHeight="1">
      <c r="B2657" s="2" t="s">
        <v>3155</v>
      </c>
      <c r="C2657" s="2" t="s">
        <v>3156</v>
      </c>
    </row>
    <row r="2658" ht="15.75" customHeight="1">
      <c r="A2658" s="2" t="s">
        <v>4</v>
      </c>
      <c r="B2658" s="2" t="str">
        <f>IFERROR(__xludf.DUMMYFUNCTION("CONCAT(""&lt;"",GOOGLETRANSLATE(B2657,""en"",""ar""))"),"&lt;eshtemoa")</f>
        <v>&lt;eshtemoa</v>
      </c>
      <c r="C2658" s="2" t="str">
        <f>IFERROR(__xludf.DUMMYFUNCTION("CONCAT(""&lt;"",GOOGLETRANSLATE(C2657,""en"",""ar""))"),"&lt;eshtemoa ؛ بلدة؛ لللاوي أراضي يهوذا")</f>
        <v>&lt;eshtemoa ؛ بلدة؛ لللاوي أراضي يهوذا</v>
      </c>
    </row>
    <row r="2659" ht="15.75" customHeight="1">
      <c r="A2659" s="1" t="s">
        <v>3157</v>
      </c>
      <c r="B2659" s="2" t="s">
        <v>3158</v>
      </c>
      <c r="C2659" s="2"/>
    </row>
    <row r="2660" ht="15.75" customHeight="1">
      <c r="B2660" s="2" t="s">
        <v>871</v>
      </c>
    </row>
    <row r="2661" ht="15.75" customHeight="1">
      <c r="A2661" s="2" t="s">
        <v>4</v>
      </c>
      <c r="B2661" s="2" t="str">
        <f>IFERROR(__xludf.DUMMYFUNCTION("CONCAT(""&lt;"",GOOGLETRANSLATE(B2660,""en"",""ar""))"),"&lt;لافتة")</f>
        <v>&lt;لافتة</v>
      </c>
      <c r="C2661" s="2"/>
    </row>
    <row r="2662" ht="15.75" customHeight="1">
      <c r="A2662" s="1" t="s">
        <v>3159</v>
      </c>
      <c r="B2662" s="2" t="s">
        <v>3160</v>
      </c>
      <c r="C2662" s="2"/>
    </row>
    <row r="2663" ht="15.75" customHeight="1">
      <c r="B2663" s="2" t="s">
        <v>3161</v>
      </c>
    </row>
    <row r="2664" ht="15.75" customHeight="1">
      <c r="A2664" s="2" t="s">
        <v>4</v>
      </c>
      <c r="B2664" s="2" t="str">
        <f>IFERROR(__xludf.DUMMYFUNCTION("CONCAT(""&lt;"",GOOGLETRANSLATE(B2663,""en"",""ar""))"),"&lt;[obj.]")</f>
        <v>&lt;[obj.]</v>
      </c>
      <c r="C2664" s="2"/>
    </row>
    <row r="2665" ht="15.75" customHeight="1">
      <c r="A2665" s="1" t="s">
        <v>3162</v>
      </c>
      <c r="B2665" s="2" t="s">
        <v>3163</v>
      </c>
      <c r="C2665" s="2"/>
    </row>
    <row r="2666" ht="15.75" customHeight="1">
      <c r="B2666" s="2" t="s">
        <v>3164</v>
      </c>
    </row>
    <row r="2667" ht="15.75" customHeight="1">
      <c r="A2667" s="2" t="s">
        <v>4</v>
      </c>
      <c r="B2667" s="2" t="str">
        <f>IFERROR(__xludf.DUMMYFUNCTION("CONCAT(""&lt;"",GOOGLETRANSLATE(B2666,""en"",""ar""))"),"&lt;مع")</f>
        <v>&lt;مع</v>
      </c>
      <c r="C2667" s="2"/>
    </row>
    <row r="2668" ht="15.75" customHeight="1">
      <c r="A2668" s="1" t="s">
        <v>3165</v>
      </c>
      <c r="B2668" s="2" t="s">
        <v>3166</v>
      </c>
      <c r="C2668" s="2"/>
    </row>
    <row r="2669" ht="15.75" customHeight="1">
      <c r="B2669" s="2" t="s">
        <v>3167</v>
      </c>
      <c r="C2669" s="2" t="s">
        <v>3168</v>
      </c>
    </row>
    <row r="2670" ht="15.75" customHeight="1">
      <c r="A2670" s="2" t="s">
        <v>4</v>
      </c>
      <c r="B2670" s="2" t="str">
        <f>IFERROR(__xludf.DUMMYFUNCTION("CONCAT(""&lt;"",GOOGLETRANSLATE(B2669,""en"",""ar""))"),"&lt;سكة المحراث")</f>
        <v>&lt;سكة المحراث</v>
      </c>
      <c r="C2670" s="2" t="str">
        <f>IFERROR(__xludf.DUMMYFUNCTION("CONCAT(""&lt;"",GOOGLETRANSLATE(C2669,""en"",""ar""))"),"&lt;(1) Plowshare ، Mattock ؛ (2) علامة الكائن ؛ (3) بجانب ، جنبا إلى جنب مع")</f>
        <v>&lt;(1) Plowshare ، Mattock ؛ (2) علامة الكائن ؛ (3) بجانب ، جنبا إلى جنب مع</v>
      </c>
    </row>
    <row r="2671" ht="15.75" customHeight="1">
      <c r="A2671" s="1" t="s">
        <v>3169</v>
      </c>
      <c r="B2671" s="2" t="s">
        <v>3170</v>
      </c>
      <c r="C2671" s="2"/>
    </row>
    <row r="2672" ht="15.75" customHeight="1">
      <c r="B2672" s="2" t="s">
        <v>3171</v>
      </c>
      <c r="C2672" s="2" t="s">
        <v>3172</v>
      </c>
    </row>
    <row r="2673" ht="15.75" customHeight="1">
      <c r="A2673" s="2" t="s">
        <v>4</v>
      </c>
      <c r="B2673" s="2" t="str">
        <f>IFERROR(__xludf.DUMMYFUNCTION("CONCAT(""&lt;"",GOOGLETRANSLATE(B2672,""en"",""ar""))"),"&lt;ethbaal")</f>
        <v>&lt;ethbaal</v>
      </c>
      <c r="C2673" s="2" t="str">
        <f>IFERROR(__xludf.DUMMYFUNCTION("CONCAT(""&lt;"",GOOGLETRANSLATE(C2672,""en"",""ar""))"),"&lt;ethbaal ملك سيتون والد زوج الملك أهاب")</f>
        <v>&lt;ethbaal ملك سيتون والد زوج الملك أهاب</v>
      </c>
    </row>
    <row r="2674" ht="15.75" customHeight="1">
      <c r="A2674" s="1" t="s">
        <v>3173</v>
      </c>
      <c r="B2674" s="2" t="s">
        <v>3174</v>
      </c>
      <c r="C2674" s="2"/>
    </row>
    <row r="2675" ht="15.75" customHeight="1">
      <c r="B2675" s="2" t="s">
        <v>3175</v>
      </c>
      <c r="C2675" s="2" t="s">
        <v>3176</v>
      </c>
    </row>
    <row r="2676" ht="15.75" customHeight="1">
      <c r="A2676" s="2" t="s">
        <v>4</v>
      </c>
      <c r="B2676" s="2" t="str">
        <f>IFERROR(__xludf.DUMMYFUNCTION("CONCAT(""&lt;"",GOOGLETRANSLATE(B2675,""en"",""ar""))"),"&lt;ليأتي")</f>
        <v>&lt;ليأتي</v>
      </c>
      <c r="C2676" s="2" t="str">
        <f>IFERROR(__xludf.DUMMYFUNCTION("CONCAT(""&lt;"",GOOGLETRANSLATE(C2675,""en"",""ar""))"),"&lt;(أ) QAL ليأتي ؛ (ب) HIF. لجلب")</f>
        <v>&lt;(أ) QAL ليأتي ؛ (ب) HIF. لجلب</v>
      </c>
    </row>
    <row r="2677" ht="15.75" customHeight="1">
      <c r="A2677" s="1" t="s">
        <v>3177</v>
      </c>
      <c r="B2677" s="2" t="s">
        <v>3178</v>
      </c>
      <c r="C2677" s="2"/>
    </row>
    <row r="2678" ht="15.75" customHeight="1">
      <c r="B2678" s="2" t="s">
        <v>3175</v>
      </c>
      <c r="C2678" s="2" t="s">
        <v>3176</v>
      </c>
    </row>
    <row r="2679" ht="15.75" customHeight="1">
      <c r="A2679" s="2" t="s">
        <v>4</v>
      </c>
      <c r="B2679" s="2" t="str">
        <f>IFERROR(__xludf.DUMMYFUNCTION("CONCAT(""&lt;"",GOOGLETRANSLATE(B2678,""en"",""ar""))"),"&lt;ليأتي")</f>
        <v>&lt;ليأتي</v>
      </c>
      <c r="C2679" s="2" t="str">
        <f>IFERROR(__xludf.DUMMYFUNCTION("CONCAT(""&lt;"",GOOGLETRANSLATE(C2678,""en"",""ar""))"),"&lt;(أ) QAL ليأتي ؛ (ب) HIF. لجلب")</f>
        <v>&lt;(أ) QAL ليأتي ؛ (ب) HIF. لجلب</v>
      </c>
    </row>
    <row r="2680" ht="15.75" customHeight="1">
      <c r="A2680" s="1" t="s">
        <v>3179</v>
      </c>
      <c r="B2680" s="2" t="s">
        <v>3180</v>
      </c>
      <c r="C2680" s="2"/>
    </row>
    <row r="2681" ht="15.75" customHeight="1">
      <c r="B2681" s="2" t="s">
        <v>3181</v>
      </c>
      <c r="C2681" s="2" t="s">
        <v>3182</v>
      </c>
    </row>
    <row r="2682" ht="15.75" customHeight="1">
      <c r="A2682" s="2" t="s">
        <v>4</v>
      </c>
      <c r="B2682" s="2" t="str">
        <f>IFERROR(__xludf.DUMMYFUNCTION("CONCAT(""&lt;"",GOOGLETRANSLATE(B2681,""en"",""ar""))"),"&lt;أنت (M.S.)")</f>
        <v>&lt;أنت (M.S.)</v>
      </c>
      <c r="C2682" s="2" t="str">
        <f>IFERROR(__xludf.DUMMYFUNCTION("CONCAT(""&lt;"",GOOGLETRANSLATE(C2681,""en"",""ar""))"),"&lt;الضمير الشخصي 2 المذكر المفرد: أنت")</f>
        <v>&lt;الضمير الشخصي 2 المذكر المفرد: أنت</v>
      </c>
    </row>
    <row r="2683" ht="15.75" customHeight="1">
      <c r="A2683" s="1" t="s">
        <v>3183</v>
      </c>
      <c r="B2683" s="2" t="s">
        <v>3184</v>
      </c>
      <c r="C2683" s="8"/>
    </row>
    <row r="2684" ht="15.75" customHeight="1">
      <c r="A2684" s="2"/>
      <c r="B2684" s="2" t="s">
        <v>3185</v>
      </c>
      <c r="C2684" s="2" t="s">
        <v>3186</v>
      </c>
    </row>
    <row r="2685" ht="15.75" customHeight="1">
      <c r="A2685" s="2" t="s">
        <v>4</v>
      </c>
      <c r="B2685" s="2" t="str">
        <f>IFERROR(__xludf.DUMMYFUNCTION("CONCAT(""&lt;"",GOOGLETRANSLATE(B2684,""en"",""ar""))"),"&lt;أنت (F.S.):")</f>
        <v>&lt;أنت (F.S.):</v>
      </c>
      <c r="C2685" s="2" t="str">
        <f>IFERROR(__xludf.DUMMYFUNCTION("CONCAT(""&lt;"",GOOGLETRANSLATE(C2684,""en"",""ar""))"),"&lt;1) أنت (بيرس الثاني. الغناء. فيم.)")</f>
        <v>&lt;1) أنت (بيرس الثاني. الغناء. فيم.)</v>
      </c>
    </row>
    <row r="2686" ht="15.75" customHeight="1">
      <c r="A2686" s="1" t="s">
        <v>3187</v>
      </c>
      <c r="B2686" s="2" t="s">
        <v>3186</v>
      </c>
      <c r="C2686" s="2"/>
    </row>
    <row r="2687" ht="15.75" customHeight="1">
      <c r="A2687" s="2"/>
      <c r="B2687" s="2" t="s">
        <v>3188</v>
      </c>
      <c r="C2687" s="2" t="s">
        <v>3189</v>
      </c>
    </row>
    <row r="2688" ht="15.75" customHeight="1">
      <c r="A2688" s="2" t="s">
        <v>4</v>
      </c>
      <c r="B2688" s="2" t="str">
        <f>IFERROR(__xludf.DUMMYFUNCTION("CONCAT(""&lt;"",GOOGLETRANSLATE(B2687,""en"",""ar""))"),"&lt;أنت (F.S.)")</f>
        <v>&lt;أنت (F.S.)</v>
      </c>
      <c r="C2688" s="2" t="str">
        <f>IFERROR(__xludf.DUMMYFUNCTION("CONCAT(""&lt;"",GOOGLETRANSLATE(C2687,""en"",""ar""))"),"&lt;الضمير الشخصي 2 المؤنث المفرد: أنت")</f>
        <v>&lt;الضمير الشخصي 2 المؤنث المفرد: أنت</v>
      </c>
    </row>
    <row r="2689" ht="15.75" customHeight="1">
      <c r="A2689" s="1" t="s">
        <v>3190</v>
      </c>
      <c r="B2689" s="2" t="s">
        <v>3191</v>
      </c>
      <c r="C2689" s="2"/>
    </row>
    <row r="2690" ht="15.75" customHeight="1">
      <c r="A2690" s="2"/>
      <c r="B2690" s="2" t="s">
        <v>3192</v>
      </c>
      <c r="C2690" s="2" t="s">
        <v>3189</v>
      </c>
    </row>
    <row r="2691" ht="15.75" customHeight="1">
      <c r="A2691" s="2" t="s">
        <v>4</v>
      </c>
      <c r="B2691" s="2" t="str">
        <f>IFERROR(__xludf.DUMMYFUNCTION("CONCAT(""&lt;"",GOOGLETRANSLATE(B2690,""en"",""ar""))"),"&lt;أنت (M.P.)")</f>
        <v>&lt;أنت (M.P.)</v>
      </c>
      <c r="C2691" s="2" t="str">
        <f>IFERROR(__xludf.DUMMYFUNCTION("CONCAT(""&lt;"",GOOGLETRANSLATE(C2690,""en"",""ar""))"),"&lt;الضمير الشخصي 2 المؤنث المفرد: أنت")</f>
        <v>&lt;الضمير الشخصي 2 المؤنث المفرد: أنت</v>
      </c>
    </row>
    <row r="2692" ht="15.75" customHeight="1">
      <c r="A2692" s="1" t="s">
        <v>3193</v>
      </c>
      <c r="B2692" s="2" t="s">
        <v>3194</v>
      </c>
      <c r="C2692" s="2"/>
    </row>
    <row r="2693" ht="15.75" customHeight="1">
      <c r="A2693" s="2"/>
      <c r="B2693" s="2" t="s">
        <v>2262</v>
      </c>
      <c r="C2693" s="2" t="s">
        <v>3195</v>
      </c>
    </row>
    <row r="2694" ht="15.75" customHeight="1">
      <c r="A2694" s="2" t="s">
        <v>4</v>
      </c>
      <c r="B2694" s="2" t="str">
        <f>IFERROR(__xludf.DUMMYFUNCTION("CONCAT(""&lt;"",GOOGLETRANSLATE(B2693,""en"",""ar""))"),"&lt;أنت")</f>
        <v>&lt;أنت</v>
      </c>
      <c r="C2694" s="2" t="str">
        <f>IFERROR(__xludf.DUMMYFUNCTION("CONCAT(""&lt;"",GOOGLETRANSLATE(C2693,""en"",""ar""))"),"&lt;الضمير الشخصي 2 الجمع المؤنث: أنت")</f>
        <v>&lt;الضمير الشخصي 2 الجمع المؤنث: أنت</v>
      </c>
    </row>
    <row r="2695" ht="15.75" customHeight="1">
      <c r="A2695" s="1" t="s">
        <v>3196</v>
      </c>
      <c r="B2695" s="2" t="s">
        <v>3197</v>
      </c>
      <c r="C2695" s="2"/>
    </row>
    <row r="2696" ht="15.75" customHeight="1">
      <c r="A2696" s="2"/>
      <c r="B2696" s="2" t="s">
        <v>3198</v>
      </c>
      <c r="C2696" s="2" t="s">
        <v>3199</v>
      </c>
    </row>
    <row r="2697" ht="15.75" customHeight="1">
      <c r="A2697" s="2" t="s">
        <v>4</v>
      </c>
      <c r="B2697" s="2" t="str">
        <f>IFERROR(__xludf.DUMMYFUNCTION("CONCAT(""&lt;"",GOOGLETRANSLATE(B2696,""en"",""ar""))"),"&lt;انها الحمار")</f>
        <v>&lt;انها الحمار</v>
      </c>
      <c r="C2697" s="2" t="str">
        <f>IFERROR(__xludf.DUMMYFUNCTION("CONCAT(""&lt;"",GOOGLETRANSLATE(C2696,""en"",""ar""))"),"&lt;حمار أنثى")</f>
        <v>&lt;حمار أنثى</v>
      </c>
    </row>
    <row r="2698" ht="15.75" customHeight="1">
      <c r="A2698" s="1" t="s">
        <v>3200</v>
      </c>
      <c r="B2698" s="2" t="s">
        <v>3201</v>
      </c>
      <c r="C2698" s="2"/>
    </row>
    <row r="2699" ht="15.75" customHeight="1">
      <c r="A2699" s="2"/>
      <c r="B2699" s="2" t="s">
        <v>3202</v>
      </c>
    </row>
    <row r="2700" ht="15.75" customHeight="1">
      <c r="A2700" s="2" t="s">
        <v>4</v>
      </c>
      <c r="B2700" s="2" t="str">
        <f>IFERROR(__xludf.DUMMYFUNCTION("CONCAT(""&lt;"",GOOGLETRANSLATE(B2699,""en"",""ar""))"),"&lt;فرن")</f>
        <v>&lt;فرن</v>
      </c>
      <c r="C2700" s="2"/>
    </row>
    <row r="2701" ht="15.75" customHeight="1">
      <c r="A2701" s="1" t="s">
        <v>3203</v>
      </c>
      <c r="B2701" s="2" t="s">
        <v>3204</v>
      </c>
      <c r="C2701" s="2"/>
    </row>
    <row r="2702" ht="15.75" customHeight="1">
      <c r="A2702" s="2"/>
      <c r="B2702" s="2" t="s">
        <v>3205</v>
      </c>
      <c r="C2702" s="2" t="s">
        <v>3206</v>
      </c>
    </row>
    <row r="2703" ht="15.75" customHeight="1">
      <c r="A2703" s="2" t="s">
        <v>4</v>
      </c>
      <c r="B2703" s="2" t="str">
        <f>IFERROR(__xludf.DUMMYFUNCTION("CONCAT(""&lt;"",GOOGLETRANSLATE(B2702,""en"",""ar""))"),"&lt;صالة عرض")</f>
        <v>&lt;صالة عرض</v>
      </c>
      <c r="C2703" s="2" t="str">
        <f>IFERROR(__xludf.DUMMYFUNCTION("CONCAT(""&lt;"",GOOGLETRANSLATE(C2702,""en"",""ar""))"),"&lt;غليري ، منحدر؟")</f>
        <v>&lt;غليري ، منحدر؟</v>
      </c>
    </row>
    <row r="2704" ht="15.75" customHeight="1">
      <c r="A2704" s="1" t="s">
        <v>3207</v>
      </c>
      <c r="B2704" s="2" t="s">
        <v>3204</v>
      </c>
      <c r="C2704" s="2"/>
    </row>
    <row r="2705" ht="15.75" customHeight="1">
      <c r="A2705" s="2"/>
      <c r="B2705" s="2" t="s">
        <v>3205</v>
      </c>
      <c r="C2705" s="2" t="s">
        <v>3206</v>
      </c>
    </row>
    <row r="2706" ht="15.75" customHeight="1">
      <c r="A2706" s="2" t="s">
        <v>4</v>
      </c>
      <c r="B2706" s="2" t="str">
        <f>IFERROR(__xludf.DUMMYFUNCTION("CONCAT(""&lt;"",GOOGLETRANSLATE(B2705,""en"",""ar""))"),"&lt;صالة عرض")</f>
        <v>&lt;صالة عرض</v>
      </c>
      <c r="C2706" s="2" t="str">
        <f>IFERROR(__xludf.DUMMYFUNCTION("CONCAT(""&lt;"",GOOGLETRANSLATE(C2705,""en"",""ar""))"),"&lt;غليري ، منحدر؟")</f>
        <v>&lt;غليري ، منحدر؟</v>
      </c>
    </row>
    <row r="2707" ht="15.75" customHeight="1">
      <c r="A2707" s="1" t="s">
        <v>3208</v>
      </c>
      <c r="B2707" s="2" t="s">
        <v>3209</v>
      </c>
      <c r="C2707" s="2"/>
    </row>
    <row r="2708" ht="15.75" customHeight="1">
      <c r="A2708" s="2"/>
      <c r="B2708" s="2" t="s">
        <v>3210</v>
      </c>
      <c r="C2708" s="2" t="s">
        <v>3211</v>
      </c>
    </row>
    <row r="2709" ht="15.75" customHeight="1">
      <c r="A2709" s="2" t="s">
        <v>4</v>
      </c>
      <c r="B2709" s="2" t="str">
        <f>IFERROR(__xludf.DUMMYFUNCTION("CONCAT(""&lt;"",GOOGLETRANSLATE(B2708,""en"",""ar""))"),"&lt;ittai")</f>
        <v>&lt;ittai</v>
      </c>
      <c r="C2709" s="2" t="str">
        <f>IFERROR(__xludf.DUMMYFUNCTION("CONCAT(""&lt;"",GOOGLETRANSLATE(C2708,""en"",""ar""))"),"&lt;(a) אִיתַי   Ittai; ابن ربياي محارب؛ وقت داود (ب) إيتاي ؛ صديق ديفيد من جاث")</f>
        <v>&lt;(a) אִיתַי   Ittai; ابن ربياي محارب؛ وقت داود (ب) إيتاي ؛ صديق ديفيد من جاث</v>
      </c>
    </row>
    <row r="2710" ht="15.75" customHeight="1">
      <c r="A2710" s="1" t="s">
        <v>3212</v>
      </c>
      <c r="B2710" s="2" t="s">
        <v>3213</v>
      </c>
      <c r="C2710" s="2"/>
    </row>
    <row r="2711" ht="15.75" customHeight="1">
      <c r="A2711" s="2"/>
      <c r="B2711" s="2" t="s">
        <v>3214</v>
      </c>
      <c r="C2711" s="2" t="s">
        <v>3215</v>
      </c>
    </row>
    <row r="2712" ht="15.75" customHeight="1">
      <c r="A2712" s="2" t="s">
        <v>4</v>
      </c>
      <c r="B2712" s="2" t="str">
        <f>IFERROR(__xludf.DUMMYFUNCTION("CONCAT(""&lt;"",GOOGLETRANSLATE(B2711,""en"",""ar""))"),"&lt;إيثام")</f>
        <v>&lt;إيثام</v>
      </c>
      <c r="C2712" s="2" t="str">
        <f>IFERROR(__xludf.DUMMYFUNCTION("CONCAT(""&lt;"",GOOGLETRANSLATE(C2711,""en"",""ar""))"),"&lt;إيثام الموقع على طول طريق الخروج")</f>
        <v>&lt;إيثام الموقع على طول طريق الخروج</v>
      </c>
    </row>
    <row r="2713" ht="15.75" customHeight="1">
      <c r="A2713" s="1" t="s">
        <v>3216</v>
      </c>
      <c r="B2713" s="2" t="s">
        <v>3217</v>
      </c>
      <c r="C2713" s="2"/>
    </row>
    <row r="2714" ht="15.75" customHeight="1">
      <c r="A2714" s="2"/>
      <c r="B2714" s="2" t="s">
        <v>3218</v>
      </c>
      <c r="C2714" s="2" t="s">
        <v>3219</v>
      </c>
    </row>
    <row r="2715" ht="15.75" customHeight="1">
      <c r="A2715" s="2" t="s">
        <v>4</v>
      </c>
      <c r="B2715" s="2" t="str">
        <f>IFERROR(__xludf.DUMMYFUNCTION("CONCAT(""&lt;"",GOOGLETRANSLATE(B2714,""en"",""ar""))"),"&lt;سابقًا")</f>
        <v>&lt;سابقًا</v>
      </c>
      <c r="C2715" s="2" t="str">
        <f>IFERROR(__xludf.DUMMYFUNCTION("CONCAT(""&lt;"",GOOGLETRANSLATE(C2714,""en"",""ar""))"),"&lt;أمس")</f>
        <v>&lt;أمس</v>
      </c>
    </row>
    <row r="2716" ht="15.75" customHeight="1">
      <c r="A2716" s="1" t="s">
        <v>3220</v>
      </c>
      <c r="B2716" s="2" t="s">
        <v>3221</v>
      </c>
      <c r="C2716" s="2"/>
    </row>
    <row r="2717" ht="15.75" customHeight="1">
      <c r="A2717" s="2"/>
      <c r="B2717" s="2" t="s">
        <v>3222</v>
      </c>
    </row>
    <row r="2718" ht="15.75" customHeight="1">
      <c r="A2718" s="2" t="s">
        <v>4</v>
      </c>
      <c r="B2718" s="2" t="str">
        <f>IFERROR(__xludf.DUMMYFUNCTION("CONCAT(""&lt;"",GOOGLETRANSLATE(B2717,""en"",""ar""))"),"&lt;أجور")</f>
        <v>&lt;أجور</v>
      </c>
      <c r="C2718" s="2"/>
    </row>
    <row r="2719" ht="15.75" customHeight="1">
      <c r="A2719" s="1" t="s">
        <v>3223</v>
      </c>
      <c r="B2719" s="2" t="s">
        <v>3224</v>
      </c>
      <c r="C2719" s="2"/>
    </row>
    <row r="2720" ht="15.75" customHeight="1">
      <c r="A2720" s="2"/>
      <c r="B2720" s="2" t="s">
        <v>3225</v>
      </c>
      <c r="C2720" s="2" t="s">
        <v>3226</v>
      </c>
    </row>
    <row r="2721" ht="15.75" customHeight="1">
      <c r="A2721" s="2" t="s">
        <v>4</v>
      </c>
      <c r="B2721" s="2" t="str">
        <f>IFERROR(__xludf.DUMMYFUNCTION("CONCAT(""&lt;"",GOOGLETRANSLATE(B2720,""en"",""ar""))"),"&lt;العرق")</f>
        <v>&lt;العرق</v>
      </c>
      <c r="C2721" s="2" t="str">
        <f>IFERROR(__xludf.DUMMYFUNCTION("CONCAT(""&lt;"",GOOGLETRANSLATE(C2720,""en"",""ar""))"),"&lt;العرقي ابن زيرا سلف أساف. قبيلة ليفي")</f>
        <v>&lt;العرقي ابن زيرا سلف أساف. قبيلة ليفي</v>
      </c>
    </row>
    <row r="2722" ht="15.75" customHeight="1">
      <c r="A2722" s="1" t="s">
        <v>3227</v>
      </c>
      <c r="B2722" s="2" t="s">
        <v>3228</v>
      </c>
      <c r="C2722" s="2"/>
    </row>
    <row r="2723" ht="15.75" customHeight="1">
      <c r="A2723" s="2"/>
      <c r="B2723" s="2" t="s">
        <v>3222</v>
      </c>
    </row>
    <row r="2724" ht="15.75" customHeight="1">
      <c r="A2724" s="2" t="s">
        <v>4</v>
      </c>
      <c r="B2724" s="2" t="str">
        <f>IFERROR(__xludf.DUMMYFUNCTION("CONCAT(""&lt;"",GOOGLETRANSLATE(B2723,""en"",""ar""))"),"&lt;أجور")</f>
        <v>&lt;أجور</v>
      </c>
      <c r="C2724" s="2"/>
    </row>
    <row r="2725" ht="15.75" customHeight="1">
      <c r="A2725" s="1" t="s">
        <v>3229</v>
      </c>
      <c r="B2725" s="2" t="s">
        <v>3230</v>
      </c>
      <c r="C2725" s="2"/>
    </row>
    <row r="2726" ht="15.75" customHeight="1">
      <c r="A2726" s="2"/>
      <c r="B2726" s="2" t="s">
        <v>3231</v>
      </c>
      <c r="C2726" s="2" t="s">
        <v>3232</v>
      </c>
    </row>
    <row r="2727" ht="15.75" customHeight="1">
      <c r="A2727" s="2" t="s">
        <v>4</v>
      </c>
      <c r="B2727" s="2" t="str">
        <f>IFERROR(__xludf.DUMMYFUNCTION("CONCAT(""&lt;"",GOOGLETRANSLATE(B2726,""en"",""ar""))"),"&lt;العرقية")</f>
        <v>&lt;العرقية</v>
      </c>
      <c r="C2727" s="2" t="str">
        <f>IFERROR(__xludf.DUMMYFUNCTION("CONCAT(""&lt;"",GOOGLETRANSLATE(C2726,""en"",""ar""))"),"&lt;(1) هدية ؛ (2) الإثنان ؛ ابن أشور قبيلة يهوذا")</f>
        <v>&lt;(1) هدية ؛ (2) الإثنان ؛ ابن أشور قبيلة يهوذا</v>
      </c>
    </row>
    <row r="2728" ht="15.75" customHeight="1">
      <c r="A2728" s="1" t="s">
        <v>3233</v>
      </c>
      <c r="B2728" s="2" t="s">
        <v>3234</v>
      </c>
      <c r="C2728" s="2"/>
    </row>
    <row r="2729" ht="15.75" customHeight="1">
      <c r="A2729" s="2"/>
      <c r="B2729" s="2" t="s">
        <v>3235</v>
      </c>
    </row>
    <row r="2730" ht="15.75" customHeight="1">
      <c r="A2730" s="2" t="s">
        <v>4</v>
      </c>
      <c r="B2730" s="2" t="str">
        <f>IFERROR(__xludf.DUMMYFUNCTION("CONCAT(""&lt;"",GOOGLETRANSLATE(B2729,""en"",""ar""))"),"&lt;مكان")</f>
        <v>&lt;مكان</v>
      </c>
      <c r="C2730" s="2"/>
    </row>
    <row r="2731" ht="15.75" customHeight="1">
      <c r="A2731" s="1" t="s">
        <v>3236</v>
      </c>
      <c r="B2731" s="2" t="s">
        <v>3237</v>
      </c>
      <c r="C2731" s="2"/>
    </row>
    <row r="2732" ht="15.75" customHeight="1">
      <c r="A2732" s="2"/>
      <c r="B2732" s="2" t="s">
        <v>3238</v>
      </c>
      <c r="C2732" s="2" t="s">
        <v>3239</v>
      </c>
    </row>
    <row r="2733" ht="15.75" customHeight="1">
      <c r="A2733" s="2" t="s">
        <v>4</v>
      </c>
      <c r="B2733" s="2" t="str">
        <f>IFERROR(__xludf.DUMMYFUNCTION("CONCAT(""&lt;"",GOOGLETRANSLATE(B2732,""en"",""ar""))"),"&lt;atharim")</f>
        <v>&lt;atharim</v>
      </c>
      <c r="C2733" s="2" t="str">
        <f>IFERROR(__xludf.DUMMYFUNCTION("CONCAT(""&lt;"",GOOGLETRANSLATE(C2732,""en"",""ar""))"),"&lt;atharim موقع")</f>
        <v>&lt;atharim موقع</v>
      </c>
    </row>
    <row r="2734" ht="15.75" customHeight="1">
      <c r="A2734" s="1" t="s">
        <v>3240</v>
      </c>
      <c r="B2734" s="2" t="s">
        <v>3241</v>
      </c>
      <c r="C2734" s="2"/>
    </row>
    <row r="2735" ht="15.75" customHeight="1">
      <c r="A2735" s="2"/>
      <c r="B2735" s="2" t="s">
        <v>3242</v>
      </c>
      <c r="C2735" s="2" t="s">
        <v>3242</v>
      </c>
    </row>
    <row r="2736" ht="15.75" customHeight="1">
      <c r="A2736" s="2" t="s">
        <v>4</v>
      </c>
      <c r="B2736" s="2" t="str">
        <f>IFERROR(__xludf.DUMMYFUNCTION("CONCAT(""&lt;"",GOOGLETRANSLATE(B2735,""en"",""ar""))"),"&lt;مدخل")</f>
        <v>&lt;مدخل</v>
      </c>
      <c r="C2736" s="2" t="str">
        <f>IFERROR(__xludf.DUMMYFUNCTION("CONCAT(""&lt;"",GOOGLETRANSLATE(C2735,""en"",""ar""))"),"&lt;مدخل")</f>
        <v>&lt;مدخل</v>
      </c>
    </row>
    <row r="2737" ht="15.75" customHeight="1">
      <c r="A2737" s="1" t="s">
        <v>3243</v>
      </c>
      <c r="B2737" s="2" t="s">
        <v>3244</v>
      </c>
      <c r="C2737" s="2"/>
    </row>
    <row r="2738" ht="15.75" customHeight="1">
      <c r="A2738" s="2"/>
      <c r="B2738" s="2" t="s">
        <v>3245</v>
      </c>
    </row>
    <row r="2739" ht="15.75" customHeight="1">
      <c r="A2739" s="2" t="s">
        <v>4</v>
      </c>
      <c r="B2739" s="2" t="str">
        <f>IFERROR(__xludf.DUMMYFUNCTION("CONCAT(""&lt;"",GOOGLETRANSLATE(B2738,""en"",""ar""))"),"&lt;سيء")</f>
        <v>&lt;سيء</v>
      </c>
      <c r="C2739" s="2"/>
    </row>
    <row r="2740" ht="15.75" customHeight="1">
      <c r="A2740" s="1" t="s">
        <v>3246</v>
      </c>
      <c r="B2740" s="2" t="s">
        <v>3247</v>
      </c>
      <c r="C2740" s="2"/>
    </row>
    <row r="2741" ht="15.75" customHeight="1">
      <c r="A2741" s="2"/>
      <c r="B2741" s="2" t="s">
        <v>3248</v>
      </c>
      <c r="C2741" s="2" t="s">
        <v>3249</v>
      </c>
    </row>
    <row r="2742" ht="15.75" customHeight="1">
      <c r="A2742" s="2" t="s">
        <v>4</v>
      </c>
      <c r="B2742" s="2" t="str">
        <f>IFERROR(__xludf.DUMMYFUNCTION("CONCAT(""&lt;"",GOOGLETRANSLATE(B2741,""en"",""ar""))"),"&lt;لتوضيح")</f>
        <v>&lt;لتوضيح</v>
      </c>
      <c r="C2742" s="2" t="str">
        <f>IFERROR(__xludf.DUMMYFUNCTION("CONCAT(""&lt;"",GOOGLETRANSLATE(C2741,""en"",""ar""))"),"&lt;باي. لشرح")</f>
        <v>&lt;باي. لشرح</v>
      </c>
    </row>
    <row r="2743" ht="15.75" customHeight="1">
      <c r="A2743" s="1" t="s">
        <v>3250</v>
      </c>
      <c r="B2743" s="2" t="s">
        <v>3251</v>
      </c>
      <c r="C2743" s="2"/>
    </row>
    <row r="2744" ht="15.75" customHeight="1">
      <c r="A2744" s="2"/>
      <c r="B2744" s="2" t="s">
        <v>3252</v>
      </c>
      <c r="C2744" s="2" t="s">
        <v>3253</v>
      </c>
    </row>
    <row r="2745" ht="15.75" customHeight="1">
      <c r="A2745" s="2" t="s">
        <v>4</v>
      </c>
      <c r="B2745" s="2" t="str">
        <f>IFERROR(__xludf.DUMMYFUNCTION("CONCAT(""&lt;"",GOOGLETRANSLATE(B2744,""en"",""ar""))"),"&lt;حسنًا")</f>
        <v>&lt;حسنًا</v>
      </c>
      <c r="C2745" s="2" t="str">
        <f>IFERROR(__xludf.DUMMYFUNCTION("CONCAT(""&lt;"",GOOGLETRANSLATE(C2744,""en"",""ar""))"),"&lt;(1) حسنا ، حفرة")</f>
        <v>&lt;(1) حسنا ، حفرة</v>
      </c>
    </row>
    <row r="2746" ht="15.75" customHeight="1">
      <c r="A2746" s="1" t="s">
        <v>3254</v>
      </c>
      <c r="B2746" s="2" t="s">
        <v>3255</v>
      </c>
      <c r="C2746" s="2"/>
    </row>
    <row r="2747" ht="15.75" customHeight="1">
      <c r="A2747" s="2"/>
      <c r="B2747" s="2" t="s">
        <v>3256</v>
      </c>
      <c r="C2747" s="2" t="s">
        <v>3257</v>
      </c>
    </row>
    <row r="2748" ht="15.75" customHeight="1">
      <c r="A2748" s="2" t="s">
        <v>4</v>
      </c>
      <c r="B2748" s="2" t="str">
        <f>IFERROR(__xludf.DUMMYFUNCTION("CONCAT(""&lt;"",GOOGLETRANSLATE(B2747,""en"",""ar""))"),"&lt;جعة")</f>
        <v>&lt;جعة</v>
      </c>
      <c r="C2748" s="2" t="str">
        <f>IFERROR(__xludf.DUMMYFUNCTION("CONCAT(""&lt;"",GOOGLETRANSLATE(C2747,""en"",""ar""))"),"&lt;(2A) البيرة ؛ الموقع على طول طريق الخروج ؛ (2 ب) البيرة ؛ موقع")</f>
        <v>&lt;(2A) البيرة ؛ الموقع على طول طريق الخروج ؛ (2 ب) البيرة ؛ موقع</v>
      </c>
    </row>
    <row r="2749" ht="15.75" customHeight="1">
      <c r="A2749" s="1" t="s">
        <v>3258</v>
      </c>
      <c r="B2749" s="2" t="s">
        <v>3259</v>
      </c>
      <c r="C2749" s="2"/>
    </row>
    <row r="2750" ht="15.75" customHeight="1">
      <c r="A2750" s="2"/>
      <c r="B2750" s="2" t="s">
        <v>3260</v>
      </c>
      <c r="C2750" s="2" t="s">
        <v>3253</v>
      </c>
    </row>
    <row r="2751" ht="15.75" customHeight="1">
      <c r="A2751" s="2" t="s">
        <v>4</v>
      </c>
      <c r="B2751" s="2" t="str">
        <f>IFERROR(__xludf.DUMMYFUNCTION("CONCAT(""&lt;"",GOOGLETRANSLATE(B2750,""en"",""ar""))"),"&lt;صهريج")</f>
        <v>&lt;صهريج</v>
      </c>
      <c r="C2751" s="2" t="str">
        <f>IFERROR(__xludf.DUMMYFUNCTION("CONCAT(""&lt;"",GOOGLETRANSLATE(C2750,""en"",""ar""))"),"&lt;(1) حسنا ، حفرة")</f>
        <v>&lt;(1) حسنا ، حفرة</v>
      </c>
    </row>
    <row r="2752" ht="15.75" customHeight="1">
      <c r="A2752" s="1" t="s">
        <v>3261</v>
      </c>
      <c r="B2752" s="2" t="s">
        <v>3262</v>
      </c>
      <c r="C2752" s="2"/>
    </row>
    <row r="2753" ht="15.75" customHeight="1">
      <c r="A2753" s="2"/>
      <c r="B2753" s="2" t="s">
        <v>3263</v>
      </c>
      <c r="C2753" s="2" t="s">
        <v>3264</v>
      </c>
    </row>
    <row r="2754" ht="15.75" customHeight="1">
      <c r="A2754" s="2" t="s">
        <v>4</v>
      </c>
      <c r="B2754" s="2" t="str">
        <f>IFERROR(__xludf.DUMMYFUNCTION("CONCAT(""&lt;"",GOOGLETRANSLATE(B2753,""en"",""ar""))"),"&lt;بيرا")</f>
        <v>&lt;بيرا</v>
      </c>
      <c r="C2754" s="2" t="str">
        <f>IFERROR(__xludf.DUMMYFUNCTION("CONCAT(""&lt;"",GOOGLETRANSLATE(C2753,""en"",""ar""))"),"&lt;بيرا ابن زوفه قبيلة آشر")</f>
        <v>&lt;بيرا ابن زوفه قبيلة آشر</v>
      </c>
    </row>
    <row r="2755" ht="15.75" customHeight="1">
      <c r="A2755" s="1" t="s">
        <v>3265</v>
      </c>
      <c r="B2755" s="2" t="s">
        <v>3266</v>
      </c>
      <c r="C2755" s="2"/>
    </row>
    <row r="2756" ht="15.75" customHeight="1">
      <c r="A2756" s="2"/>
      <c r="B2756" s="2" t="s">
        <v>3267</v>
      </c>
      <c r="C2756" s="2" t="s">
        <v>3268</v>
      </c>
    </row>
    <row r="2757" ht="15.75" customHeight="1">
      <c r="A2757" s="2" t="s">
        <v>4</v>
      </c>
      <c r="B2757" s="2" t="str">
        <f>IFERROR(__xludf.DUMMYFUNCTION("CONCAT(""&lt;"",GOOGLETRANSLATE(B2756,""en"",""ar""))"),"&lt;البيرة elim")</f>
        <v>&lt;البيرة elim</v>
      </c>
      <c r="C2757" s="2" t="str">
        <f>IFERROR(__xludf.DUMMYFUNCTION("CONCAT(""&lt;"",GOOGLETRANSLATE(C2756,""en"",""ar""))"),"&lt;البيرة العلم موقع؛ موآب")</f>
        <v>&lt;البيرة العلم موقع؛ موآب</v>
      </c>
    </row>
    <row r="2758" ht="15.75" customHeight="1">
      <c r="A2758" s="1" t="s">
        <v>3269</v>
      </c>
      <c r="B2758" s="2" t="s">
        <v>3270</v>
      </c>
      <c r="C2758" s="2"/>
    </row>
    <row r="2759" ht="15.75" customHeight="1">
      <c r="A2759" s="2"/>
      <c r="B2759" s="2" t="s">
        <v>3271</v>
      </c>
      <c r="C2759" s="2" t="s">
        <v>3272</v>
      </c>
    </row>
    <row r="2760" ht="15.75" customHeight="1">
      <c r="A2760" s="2" t="s">
        <v>4</v>
      </c>
      <c r="B2760" s="2" t="str">
        <f>IFERROR(__xludf.DUMMYFUNCTION("CONCAT(""&lt;"",GOOGLETRANSLATE(B2759,""en"",""ar""))"),"&lt;بيرة")</f>
        <v>&lt;بيرة</v>
      </c>
      <c r="C2760" s="2" t="str">
        <f>IFERROR(__xludf.DUMMYFUNCTION("CONCAT(""&lt;"",GOOGLETRANSLATE(C2759,""en"",""ar""))"),"&lt;بيرة ابن بعل قبيلة روبن")</f>
        <v>&lt;بيرة ابن بعل قبيلة روبن</v>
      </c>
    </row>
    <row r="2761" ht="15.75" customHeight="1">
      <c r="A2761" s="1" t="s">
        <v>3273</v>
      </c>
      <c r="B2761" s="2" t="s">
        <v>3274</v>
      </c>
      <c r="C2761" s="2"/>
    </row>
    <row r="2762" ht="15.75" customHeight="1">
      <c r="A2762" s="2"/>
      <c r="B2762" s="2" t="s">
        <v>3275</v>
      </c>
      <c r="C2762" s="2" t="s">
        <v>3276</v>
      </c>
    </row>
    <row r="2763" ht="15.75" customHeight="1">
      <c r="A2763" s="2" t="s">
        <v>4</v>
      </c>
      <c r="B2763" s="2" t="str">
        <f>IFERROR(__xludf.DUMMYFUNCTION("CONCAT(""&lt;"",GOOGLETRANSLATE(B2762,""en"",""ar""))"),"&lt;البيرة")</f>
        <v>&lt;البيرة</v>
      </c>
      <c r="C2763" s="2" t="str">
        <f>IFERROR(__xludf.DUMMYFUNCTION("CONCAT(""&lt;"",GOOGLETRANSLATE(C2762,""en"",""ar""))"),"&lt;البيرة بلدة؛ أراضي بنيامين")</f>
        <v>&lt;البيرة بلدة؛ أراضي بنيامين</v>
      </c>
    </row>
    <row r="2764" ht="15.75" customHeight="1">
      <c r="A2764" s="1" t="s">
        <v>3277</v>
      </c>
      <c r="B2764" s="2" t="s">
        <v>3278</v>
      </c>
      <c r="C2764" s="2"/>
    </row>
    <row r="2765" ht="15.75" customHeight="1">
      <c r="A2765" s="2"/>
      <c r="B2765" s="2" t="s">
        <v>3279</v>
      </c>
      <c r="C2765" s="2" t="s">
        <v>3280</v>
      </c>
    </row>
    <row r="2766" ht="15.75" customHeight="1">
      <c r="A2766" s="2" t="s">
        <v>4</v>
      </c>
      <c r="B2766" s="2" t="str">
        <f>IFERROR(__xludf.DUMMYFUNCTION("CONCAT(""&lt;"",GOOGLETRANSLATE(B2765,""en"",""ar""))"),"&lt;البيرة")</f>
        <v>&lt;البيرة</v>
      </c>
      <c r="C2766" s="2" t="str">
        <f>IFERROR(__xludf.DUMMYFUNCTION("CONCAT(""&lt;"",GOOGLETRANSLATE(C2765,""en"",""ar""))"),"&lt;(أ) بيرة ؛ والد جوديث ، زوجة عيسو ؛ (ب) بيرة ؛ والد النبي هوشيا")</f>
        <v>&lt;(أ) بيرة ؛ والد جوديث ، زوجة عيسو ؛ (ب) بيرة ؛ والد النبي هوشيا</v>
      </c>
    </row>
    <row r="2767" ht="15.75" customHeight="1">
      <c r="A2767" s="1" t="s">
        <v>3281</v>
      </c>
      <c r="B2767" s="2" t="s">
        <v>3282</v>
      </c>
      <c r="C2767" s="2"/>
    </row>
    <row r="2768" ht="15.75" customHeight="1">
      <c r="A2768" s="2"/>
      <c r="B2768" s="2" t="s">
        <v>3283</v>
      </c>
      <c r="C2768" s="2" t="s">
        <v>3284</v>
      </c>
    </row>
    <row r="2769" ht="15.75" customHeight="1">
      <c r="A2769" s="2" t="s">
        <v>4</v>
      </c>
      <c r="B2769" s="2" t="str">
        <f>IFERROR(__xludf.DUMMYFUNCTION("CONCAT(""&lt;"",GOOGLETRANSLATE(B2768,""en"",""ar""))"),"&lt;بيرة لاهاي روي")</f>
        <v>&lt;بيرة لاهاي روي</v>
      </c>
      <c r="C2769" s="2" t="str">
        <f>IFERROR(__xludf.DUMMYFUNCTION("CONCAT(""&lt;"",GOOGLETRANSLATE(C2768,""en"",""ar""))"),"&lt;بيرة لاهاي روي موقع")</f>
        <v>&lt;بيرة لاهاي روي موقع</v>
      </c>
    </row>
    <row r="2770" ht="15.75" customHeight="1">
      <c r="A2770" s="1" t="s">
        <v>3285</v>
      </c>
      <c r="B2770" s="2" t="s">
        <v>3286</v>
      </c>
      <c r="C2770" s="2"/>
    </row>
    <row r="2771" ht="15.75" customHeight="1">
      <c r="A2771" s="2"/>
      <c r="B2771" s="2" t="s">
        <v>3287</v>
      </c>
      <c r="C2771" s="2" t="s">
        <v>3287</v>
      </c>
    </row>
    <row r="2772" ht="15.75" customHeight="1">
      <c r="A2772" s="2" t="s">
        <v>4</v>
      </c>
      <c r="B2772" s="2" t="str">
        <f>IFERROR(__xludf.DUMMYFUNCTION("CONCAT(""&lt;"",GOOGLETRANSLATE(B2771,""en"",""ar""))"),"&lt;البيرة شبا")</f>
        <v>&lt;البيرة شبا</v>
      </c>
      <c r="C2772" s="2" t="str">
        <f>IFERROR(__xludf.DUMMYFUNCTION("CONCAT(""&lt;"",GOOGLETRANSLATE(C2771,""en"",""ar""))"),"&lt;البيرة شبا")</f>
        <v>&lt;البيرة شبا</v>
      </c>
    </row>
    <row r="2773" ht="15.75" customHeight="1">
      <c r="A2773" s="1" t="s">
        <v>3288</v>
      </c>
      <c r="B2773" s="2" t="s">
        <v>3289</v>
      </c>
      <c r="C2773" s="2"/>
    </row>
    <row r="2774" ht="15.75" customHeight="1">
      <c r="A2774" s="2"/>
      <c r="B2774" s="2" t="s">
        <v>3290</v>
      </c>
      <c r="C2774" s="2" t="s">
        <v>3291</v>
      </c>
    </row>
    <row r="2775" ht="15.75" customHeight="1">
      <c r="A2775" s="2" t="s">
        <v>4</v>
      </c>
      <c r="B2775" s="2" t="str">
        <f>IFERROR(__xludf.DUMMYFUNCTION("CONCAT(""&lt;"",GOOGLETRANSLATE(B2774,""en"",""ar""))"),"&lt;Beeroth-Bene-Jaakan")</f>
        <v>&lt;Beeroth-Bene-Jaakan</v>
      </c>
      <c r="C2775" s="2" t="str">
        <f>IFERROR(__xludf.DUMMYFUNCTION("CONCAT(""&lt;"",GOOGLETRANSLATE(C2774,""en"",""ar""))"),"&lt;Beeroth Benejaakan الموقع على طول طريق الخروج")</f>
        <v>&lt;Beeroth Benejaakan الموقع على طول طريق الخروج</v>
      </c>
    </row>
    <row r="2776" ht="15.75" customHeight="1">
      <c r="A2776" s="1" t="s">
        <v>3292</v>
      </c>
      <c r="B2776" s="2" t="s">
        <v>3293</v>
      </c>
      <c r="C2776" s="2"/>
    </row>
    <row r="2777" ht="15.75" customHeight="1">
      <c r="A2777" s="2"/>
      <c r="B2777" s="2" t="s">
        <v>3294</v>
      </c>
      <c r="C2777" s="2" t="s">
        <v>3295</v>
      </c>
    </row>
    <row r="2778" ht="15.75" customHeight="1">
      <c r="A2778" s="2" t="s">
        <v>4</v>
      </c>
      <c r="B2778" s="2" t="str">
        <f>IFERROR(__xludf.DUMMYFUNCTION("CONCAT(""&lt;"",GOOGLETRANSLATE(B2777,""en"",""ar""))"),"&lt;Beerothite")</f>
        <v>&lt;Beerothite</v>
      </c>
      <c r="C2778" s="2" t="str">
        <f>IFERROR(__xludf.DUMMYFUNCTION("CONCAT(""&lt;"",GOOGLETRANSLATE(C2777,""en"",""ar""))"),"&lt;من Beeroth ساكن بيروث ، أراضي بنيامين")</f>
        <v>&lt;من Beeroth ساكن بيروث ، أراضي بنيامين</v>
      </c>
    </row>
    <row r="2779" ht="15.75" customHeight="1">
      <c r="A2779" s="1" t="s">
        <v>3296</v>
      </c>
      <c r="B2779" s="2" t="s">
        <v>3297</v>
      </c>
      <c r="C2779" s="2"/>
    </row>
    <row r="2780" ht="15.75" customHeight="1">
      <c r="A2780" s="2"/>
      <c r="B2780" s="2" t="s">
        <v>3298</v>
      </c>
      <c r="C2780" s="2" t="s">
        <v>3299</v>
      </c>
    </row>
    <row r="2781" ht="15.75" customHeight="1">
      <c r="A2781" s="2" t="s">
        <v>4</v>
      </c>
      <c r="B2781" s="2" t="str">
        <f>IFERROR(__xludf.DUMMYFUNCTION("CONCAT(""&lt;"",GOOGLETRANSLATE(B2780,""en"",""ar""))"),"&lt;لنتن")</f>
        <v>&lt;لنتن</v>
      </c>
      <c r="C2781" s="2" t="str">
        <f>IFERROR(__xludf.DUMMYFUNCTION("CONCAT(""&lt;"",GOOGLETRANSLATE(C2780,""en"",""ar""))"),"&lt;(أ) QAL إلى نتن ؛ (ب) نيف. لتصبح بغيضة (ج) HITP. لجعل نفسه بغيض. (د) HIF. أن تنمو ، لتصبح بغيضة")</f>
        <v>&lt;(أ) QAL إلى نتن ؛ (ب) نيف. لتصبح بغيضة (ج) HITP. لجعل نفسه بغيض. (د) HIF. أن تنمو ، لتصبح بغيضة</v>
      </c>
    </row>
    <row r="2782" ht="15.75" customHeight="1">
      <c r="A2782" s="1" t="s">
        <v>3300</v>
      </c>
      <c r="B2782" s="2" t="s">
        <v>3301</v>
      </c>
      <c r="C2782" s="2"/>
    </row>
    <row r="2783" ht="15.75" customHeight="1">
      <c r="A2783" s="2"/>
      <c r="B2783" s="2" t="s">
        <v>3302</v>
      </c>
    </row>
    <row r="2784" ht="15.75" customHeight="1">
      <c r="A2784" s="2" t="s">
        <v>4</v>
      </c>
      <c r="B2784" s="2" t="str">
        <f>IFERROR(__xludf.DUMMYFUNCTION("CONCAT(""&lt;"",GOOGLETRANSLATE(B2783,""en"",""ar""))"),"&lt;كن مستاء")</f>
        <v>&lt;كن مستاء</v>
      </c>
      <c r="C2784" s="2"/>
    </row>
    <row r="2785" ht="15.75" customHeight="1">
      <c r="A2785" s="1" t="s">
        <v>3303</v>
      </c>
      <c r="B2785" s="2" t="s">
        <v>3304</v>
      </c>
      <c r="C2785" s="2"/>
    </row>
    <row r="2786" ht="15.75" customHeight="1">
      <c r="A2786" s="2"/>
      <c r="B2786" s="2" t="s">
        <v>3305</v>
      </c>
      <c r="C2786" s="2" t="s">
        <v>3305</v>
      </c>
    </row>
    <row r="2787" ht="15.75" customHeight="1">
      <c r="A2787" s="2" t="s">
        <v>4</v>
      </c>
      <c r="B2787" s="2" t="str">
        <f>IFERROR(__xludf.DUMMYFUNCTION("CONCAT(""&lt;"",GOOGLETRANSLATE(B2786,""en"",""ar""))"),"&lt;رائحة كريهة")</f>
        <v>&lt;رائحة كريهة</v>
      </c>
      <c r="C2787" s="2" t="str">
        <f>IFERROR(__xludf.DUMMYFUNCTION("CONCAT(""&lt;"",GOOGLETRANSLATE(C2786,""en"",""ar""))"),"&lt;رائحة كريهة")</f>
        <v>&lt;رائحة كريهة</v>
      </c>
    </row>
    <row r="2788" ht="15.75" customHeight="1">
      <c r="A2788" s="1" t="s">
        <v>3306</v>
      </c>
      <c r="B2788" s="2" t="s">
        <v>3307</v>
      </c>
      <c r="C2788" s="2"/>
    </row>
    <row r="2789" ht="15.75" customHeight="1">
      <c r="A2789" s="2"/>
      <c r="B2789" s="2" t="s">
        <v>3308</v>
      </c>
      <c r="C2789" s="2" t="s">
        <v>3309</v>
      </c>
    </row>
    <row r="2790" ht="15.75" customHeight="1">
      <c r="A2790" s="2" t="s">
        <v>4</v>
      </c>
      <c r="B2790" s="2" t="str">
        <f>IFERROR(__xludf.DUMMYFUNCTION("CONCAT(""&lt;"",GOOGLETRANSLATE(B2789,""en"",""ar""))"),"&lt;حشيش كريهة")</f>
        <v>&lt;حشيش كريهة</v>
      </c>
      <c r="C2790" s="2" t="str">
        <f>IFERROR(__xludf.DUMMYFUNCTION("CONCAT(""&lt;"",GOOGLETRANSLATE(C2789,""en"",""ar""))"),"&lt;الحشائش كريهة")</f>
        <v>&lt;الحشائش كريهة</v>
      </c>
    </row>
    <row r="2791" ht="15.75" customHeight="1">
      <c r="A2791" s="1" t="s">
        <v>3310</v>
      </c>
      <c r="B2791" s="2" t="s">
        <v>3311</v>
      </c>
      <c r="C2791" s="2"/>
    </row>
    <row r="2792" ht="15.75" customHeight="1">
      <c r="A2792" s="2"/>
      <c r="B2792" s="2" t="s">
        <v>3312</v>
      </c>
      <c r="C2792" s="2" t="s">
        <v>3313</v>
      </c>
    </row>
    <row r="2793" ht="15.75" customHeight="1">
      <c r="A2793" s="2" t="s">
        <v>4</v>
      </c>
      <c r="B2793" s="2" t="str">
        <f>IFERROR(__xludf.DUMMYFUNCTION("CONCAT(""&lt;"",GOOGLETRANSLATE(B2792,""en"",""ar""))"),"&lt;الحصرم")</f>
        <v>&lt;الحصرم</v>
      </c>
      <c r="C2793" s="2" t="str">
        <f>IFERROR(__xludf.DUMMYFUNCTION("CONCAT(""&lt;"",GOOGLETRANSLATE(C2792,""en"",""ar""))"),"&lt;العنب البري؟")</f>
        <v>&lt;العنب البري؟</v>
      </c>
    </row>
    <row r="2794" ht="15.75" customHeight="1">
      <c r="A2794" s="1" t="s">
        <v>3314</v>
      </c>
      <c r="B2794" s="2" t="s">
        <v>3315</v>
      </c>
      <c r="C2794" s="2"/>
    </row>
    <row r="2795" ht="15.75" customHeight="1">
      <c r="A2795" s="2"/>
      <c r="B2795" s="2" t="s">
        <v>3316</v>
      </c>
      <c r="C2795" s="2" t="s">
        <v>3317</v>
      </c>
    </row>
    <row r="2796" ht="15.75" customHeight="1">
      <c r="A2796" s="2" t="s">
        <v>4</v>
      </c>
      <c r="B2796" s="2" t="str">
        <f>IFERROR(__xludf.DUMMYFUNCTION("CONCAT(""&lt;"",GOOGLETRANSLATE(B2795,""en"",""ar""))"),"&lt;تفاحة")</f>
        <v>&lt;تفاحة</v>
      </c>
      <c r="C2796" s="2" t="str">
        <f>IFERROR(__xludf.DUMMYFUNCTION("CONCAT(""&lt;"",GOOGLETRANSLATE(C2795,""en"",""ar""))"),"&lt;مقلة العين")</f>
        <v>&lt;مقلة العين</v>
      </c>
    </row>
    <row r="2797" ht="15.75" customHeight="1">
      <c r="A2797" s="1" t="s">
        <v>3318</v>
      </c>
      <c r="B2797" s="2" t="s">
        <v>3319</v>
      </c>
      <c r="C2797" s="2"/>
    </row>
    <row r="2798" ht="15.75" customHeight="1">
      <c r="A2798" s="2"/>
      <c r="B2798" s="2" t="s">
        <v>3320</v>
      </c>
      <c r="C2798" s="2" t="s">
        <v>3321</v>
      </c>
    </row>
    <row r="2799" ht="15.75" customHeight="1">
      <c r="A2799" s="2" t="s">
        <v>4</v>
      </c>
      <c r="B2799" s="2" t="str">
        <f>IFERROR(__xludf.DUMMYFUNCTION("CONCAT(""&lt;"",GOOGLETRANSLATE(B2798,""en"",""ar""))"),"&lt;بيباي")</f>
        <v>&lt;بيباي</v>
      </c>
      <c r="C2799" s="2" t="str">
        <f>IFERROR(__xludf.DUMMYFUNCTION("CONCAT(""&lt;"",GOOGLETRANSLATE(C2798,""en"",""ar""))"),"&lt;بيباي رأس الأسرة بعد المنفى")</f>
        <v>&lt;بيباي رأس الأسرة بعد المنفى</v>
      </c>
    </row>
    <row r="2800" ht="15.75" customHeight="1">
      <c r="A2800" s="1" t="s">
        <v>3322</v>
      </c>
      <c r="B2800" s="2" t="s">
        <v>3323</v>
      </c>
      <c r="C2800" s="2"/>
    </row>
    <row r="2801" ht="15.75" customHeight="1">
      <c r="A2801" s="2"/>
      <c r="B2801" s="2" t="s">
        <v>3324</v>
      </c>
      <c r="C2801" s="2" t="s">
        <v>3325</v>
      </c>
    </row>
    <row r="2802" ht="15.75" customHeight="1">
      <c r="A2802" s="2" t="s">
        <v>4</v>
      </c>
      <c r="B2802" s="2" t="str">
        <f>IFERROR(__xludf.DUMMYFUNCTION("CONCAT(""&lt;"",GOOGLETRANSLATE(B2801,""en"",""ar""))"),"&lt;بابل")</f>
        <v>&lt;بابل</v>
      </c>
      <c r="C2802" s="2" t="str">
        <f>IFERROR(__xludf.DUMMYFUNCTION("CONCAT(""&lt;"",GOOGLETRANSLATE(C2801,""en"",""ar""))"),"&lt;بابل بلدة في بلاد ما بين النهرين")</f>
        <v>&lt;بابل بلدة في بلاد ما بين النهرين</v>
      </c>
    </row>
    <row r="2803" ht="15.75" customHeight="1">
      <c r="A2803" s="1" t="s">
        <v>3326</v>
      </c>
      <c r="B2803" s="2" t="s">
        <v>3323</v>
      </c>
      <c r="C2803" s="2"/>
    </row>
    <row r="2804" ht="15.75" customHeight="1">
      <c r="A2804" s="2"/>
      <c r="B2804" s="2" t="s">
        <v>3327</v>
      </c>
      <c r="C2804" s="2" t="s">
        <v>3325</v>
      </c>
    </row>
    <row r="2805" ht="15.75" customHeight="1">
      <c r="A2805" s="2" t="s">
        <v>4</v>
      </c>
      <c r="B2805" s="2" t="str">
        <f>IFERROR(__xludf.DUMMYFUNCTION("CONCAT(""&lt;"",GOOGLETRANSLATE(B2804,""en"",""ar""))"),"&lt;بابل")</f>
        <v>&lt;بابل</v>
      </c>
      <c r="C2805" s="2" t="str">
        <f>IFERROR(__xludf.DUMMYFUNCTION("CONCAT(""&lt;"",GOOGLETRANSLATE(C2804,""en"",""ar""))"),"&lt;بابل بلدة في بلاد ما بين النهرين")</f>
        <v>&lt;بابل بلدة في بلاد ما بين النهرين</v>
      </c>
    </row>
    <row r="2806" ht="15.75" customHeight="1">
      <c r="A2806" s="1" t="s">
        <v>3328</v>
      </c>
      <c r="B2806" s="2" t="s">
        <v>3329</v>
      </c>
      <c r="C2806" s="2"/>
    </row>
    <row r="2807" ht="15.75" customHeight="1">
      <c r="A2807" s="2"/>
      <c r="B2807" s="2" t="s">
        <v>3330</v>
      </c>
      <c r="C2807" s="2" t="s">
        <v>3331</v>
      </c>
    </row>
    <row r="2808" ht="15.75" customHeight="1">
      <c r="A2808" s="2" t="s">
        <v>4</v>
      </c>
      <c r="B2808" s="2" t="str">
        <f>IFERROR(__xludf.DUMMYFUNCTION("CONCAT(""&lt;"",GOOGLETRANSLATE(B2807,""en"",""ar""))"),"&lt;البابلي")</f>
        <v>&lt;البابلي</v>
      </c>
      <c r="C2808" s="2" t="str">
        <f>IFERROR(__xludf.DUMMYFUNCTION("CONCAT(""&lt;"",GOOGLETRANSLATE(C2807,""en"",""ar""))"),"&lt;بابيلونيان ساكن بابل")</f>
        <v>&lt;بابيلونيان ساكن بابل</v>
      </c>
    </row>
    <row r="2809" ht="15.75" customHeight="1">
      <c r="A2809" s="1" t="s">
        <v>3332</v>
      </c>
      <c r="B2809" s="2" t="s">
        <v>3333</v>
      </c>
      <c r="C2809" s="2"/>
    </row>
    <row r="2810" ht="15.75" customHeight="1">
      <c r="A2810" s="2"/>
      <c r="B2810" s="2" t="s">
        <v>3334</v>
      </c>
    </row>
    <row r="2811" ht="15.75" customHeight="1">
      <c r="A2811" s="2" t="s">
        <v>4</v>
      </c>
      <c r="B2811" s="2" t="str">
        <f>IFERROR(__xludf.DUMMYFUNCTION("CONCAT(""&lt;"",GOOGLETRANSLATE(B2810,""en"",""ar""))"),"&lt;يفسد")</f>
        <v>&lt;يفسد</v>
      </c>
      <c r="C2811" s="2"/>
    </row>
    <row r="2812" ht="15.75" customHeight="1">
      <c r="A2812" s="1" t="s">
        <v>3335</v>
      </c>
      <c r="B2812" s="2" t="s">
        <v>3336</v>
      </c>
      <c r="C2812" s="2"/>
    </row>
    <row r="2813" ht="15.75" customHeight="1">
      <c r="A2813" s="2"/>
      <c r="B2813" s="2" t="s">
        <v>3337</v>
      </c>
      <c r="C2813" s="2" t="s">
        <v>3338</v>
      </c>
    </row>
    <row r="2814" ht="15.75" customHeight="1">
      <c r="A2814" s="2" t="s">
        <v>4</v>
      </c>
      <c r="B2814" s="2" t="str">
        <f>IFERROR(__xludf.DUMMYFUNCTION("CONCAT(""&lt;"",GOOGLETRANSLATE(B2813,""en"",""ar""))"),"&lt;للتصرف بشكل غادر")</f>
        <v>&lt;للتصرف بشكل غادر</v>
      </c>
      <c r="C2814" s="2" t="str">
        <f>IFERROR(__xludf.DUMMYFUNCTION("CONCAT(""&lt;"",GOOGLETRANSLATE(C2813,""en"",""ar""))"),"&lt;QAL للتعامل بشكل غادر")</f>
        <v>&lt;QAL للتعامل بشكل غادر</v>
      </c>
    </row>
    <row r="2815" ht="15.75" customHeight="1">
      <c r="A2815" s="1" t="s">
        <v>3339</v>
      </c>
      <c r="B2815" s="2" t="s">
        <v>3340</v>
      </c>
      <c r="C2815" s="2"/>
    </row>
    <row r="2816" ht="15.75" customHeight="1">
      <c r="A2816" s="2"/>
      <c r="B2816" s="2" t="s">
        <v>3341</v>
      </c>
      <c r="C2816" s="2" t="s">
        <v>3342</v>
      </c>
    </row>
    <row r="2817" ht="15.75" customHeight="1">
      <c r="A2817" s="2" t="s">
        <v>4</v>
      </c>
      <c r="B2817" s="2" t="str">
        <f>IFERROR(__xludf.DUMMYFUNCTION("CONCAT(""&lt;"",GOOGLETRANSLATE(B2816,""en"",""ar""))"),"&lt;خيانة")</f>
        <v>&lt;خيانة</v>
      </c>
      <c r="C2817" s="2" t="str">
        <f>IFERROR(__xludf.DUMMYFUNCTION("CONCAT(""&lt;"",GOOGLETRANSLATE(C2816,""en"",""ar""))"),"&lt;(أ) الخيانة")</f>
        <v>&lt;(أ) الخيانة</v>
      </c>
    </row>
    <row r="2818" ht="15.75" customHeight="1">
      <c r="A2818" s="1" t="s">
        <v>3343</v>
      </c>
      <c r="B2818" s="2" t="s">
        <v>3344</v>
      </c>
      <c r="C2818" s="2"/>
    </row>
    <row r="2819" ht="15.75" customHeight="1">
      <c r="A2819" s="2"/>
      <c r="B2819" s="2" t="s">
        <v>3345</v>
      </c>
      <c r="C2819" s="2" t="s">
        <v>3346</v>
      </c>
    </row>
    <row r="2820" ht="15.75" customHeight="1">
      <c r="A2820" s="2" t="s">
        <v>4</v>
      </c>
      <c r="B2820" s="2" t="str">
        <f>IFERROR(__xludf.DUMMYFUNCTION("CONCAT(""&lt;"",GOOGLETRANSLATE(B2819,""en"",""ar""))"),"&lt;ملابس")</f>
        <v>&lt;ملابس</v>
      </c>
      <c r="C2820" s="2" t="str">
        <f>IFERROR(__xludf.DUMMYFUNCTION("CONCAT(""&lt;"",GOOGLETRANSLATE(C2819,""en"",""ar""))"),"&lt;(ب) الملابس")</f>
        <v>&lt;(ب) الملابس</v>
      </c>
    </row>
    <row r="2821" ht="15.75" customHeight="1">
      <c r="A2821" s="1" t="s">
        <v>3347</v>
      </c>
      <c r="B2821" s="2" t="s">
        <v>3348</v>
      </c>
      <c r="C2821" s="2"/>
    </row>
    <row r="2822" ht="15.75" customHeight="1">
      <c r="A2822" s="2"/>
      <c r="B2822" s="2" t="s">
        <v>3341</v>
      </c>
      <c r="C2822" s="2" t="s">
        <v>3341</v>
      </c>
    </row>
    <row r="2823" ht="15.75" customHeight="1">
      <c r="A2823" s="2" t="s">
        <v>4</v>
      </c>
      <c r="B2823" s="2" t="str">
        <f>IFERROR(__xludf.DUMMYFUNCTION("CONCAT(""&lt;"",GOOGLETRANSLATE(B2822,""en"",""ar""))"),"&lt;خيانة")</f>
        <v>&lt;خيانة</v>
      </c>
      <c r="C2823" s="2" t="str">
        <f>IFERROR(__xludf.DUMMYFUNCTION("CONCAT(""&lt;"",GOOGLETRANSLATE(C2822,""en"",""ar""))"),"&lt;خيانة")</f>
        <v>&lt;خيانة</v>
      </c>
    </row>
    <row r="2824" ht="15.75" customHeight="1">
      <c r="A2824" s="1" t="s">
        <v>3349</v>
      </c>
      <c r="B2824" s="2" t="s">
        <v>3350</v>
      </c>
      <c r="C2824" s="2"/>
    </row>
    <row r="2825" ht="15.75" customHeight="1">
      <c r="A2825" s="2"/>
      <c r="B2825" s="2" t="s">
        <v>3351</v>
      </c>
      <c r="C2825" s="2" t="s">
        <v>3351</v>
      </c>
    </row>
    <row r="2826" ht="15.75" customHeight="1">
      <c r="A2826" s="2" t="s">
        <v>4</v>
      </c>
      <c r="B2826" s="2" t="str">
        <f>IFERROR(__xludf.DUMMYFUNCTION("CONCAT(""&lt;"",GOOGLETRANSLATE(B2825,""en"",""ar""))"),"&lt;غادر")</f>
        <v>&lt;غادر</v>
      </c>
      <c r="C2826" s="2" t="str">
        <f>IFERROR(__xludf.DUMMYFUNCTION("CONCAT(""&lt;"",GOOGLETRANSLATE(C2825,""en"",""ar""))"),"&lt;غادر")</f>
        <v>&lt;غادر</v>
      </c>
    </row>
    <row r="2827" ht="15.75" customHeight="1">
      <c r="A2827" s="1" t="s">
        <v>3352</v>
      </c>
      <c r="B2827" s="2" t="s">
        <v>3353</v>
      </c>
      <c r="C2827" s="2"/>
    </row>
    <row r="2828" ht="15.75" customHeight="1">
      <c r="A2828" s="2"/>
      <c r="B2828" s="2" t="s">
        <v>3354</v>
      </c>
      <c r="C2828" s="2" t="s">
        <v>3355</v>
      </c>
    </row>
    <row r="2829" ht="15.75" customHeight="1">
      <c r="A2829" s="2" t="s">
        <v>4</v>
      </c>
      <c r="B2829" s="2" t="str">
        <f>IFERROR(__xludf.DUMMYFUNCTION("CONCAT(""&lt;"",GOOGLETRANSLATE(B2828,""en"",""ar""))"),"&lt;Bigvai")</f>
        <v>&lt;Bigvai</v>
      </c>
      <c r="C2829" s="2" t="str">
        <f>IFERROR(__xludf.DUMMYFUNCTION("CONCAT(""&lt;"",GOOGLETRANSLATE(C2828,""en"",""ar""))"),"&lt;Bigvai رؤوس الأسرة بعد المنفى")</f>
        <v>&lt;Bigvai رؤوس الأسرة بعد المنفى</v>
      </c>
    </row>
    <row r="2830" ht="15.75" customHeight="1">
      <c r="A2830" s="1" t="s">
        <v>3356</v>
      </c>
      <c r="B2830" s="2" t="s">
        <v>3357</v>
      </c>
      <c r="C2830" s="2"/>
    </row>
    <row r="2831" ht="15.75" customHeight="1">
      <c r="A2831" s="2"/>
      <c r="B2831" s="2" t="s">
        <v>3358</v>
      </c>
      <c r="C2831" s="2" t="s">
        <v>3359</v>
      </c>
    </row>
    <row r="2832" ht="15.75" customHeight="1">
      <c r="A2832" s="2" t="s">
        <v>4</v>
      </c>
      <c r="B2832" s="2" t="str">
        <f>IFERROR(__xludf.DUMMYFUNCTION("CONCAT(""&lt;"",GOOGLETRANSLATE(B2831,""en"",""ar""))"),"&lt;بيغثا")</f>
        <v>&lt;بيغثا</v>
      </c>
      <c r="C2832" s="2" t="str">
        <f>IFERROR(__xludf.DUMMYFUNCTION("CONCAT(""&lt;"",GOOGLETRANSLATE(C2831,""en"",""ar""))"),"&lt;بيغثا الخصي خادم الملك أهاسويروس (زيركسيس)")</f>
        <v>&lt;بيغثا الخصي خادم الملك أهاسويروس (زيركسيس)</v>
      </c>
    </row>
    <row r="2833" ht="15.75" customHeight="1">
      <c r="A2833" s="1" t="s">
        <v>3360</v>
      </c>
      <c r="B2833" s="2" t="s">
        <v>3361</v>
      </c>
      <c r="C2833" s="2"/>
    </row>
    <row r="2834" ht="15.75" customHeight="1">
      <c r="A2834" s="2"/>
      <c r="B2834" s="2" t="s">
        <v>3362</v>
      </c>
      <c r="C2834" s="2" t="s">
        <v>3363</v>
      </c>
    </row>
    <row r="2835" ht="15.75" customHeight="1">
      <c r="A2835" s="2" t="s">
        <v>4</v>
      </c>
      <c r="B2835" s="2" t="str">
        <f>IFERROR(__xludf.DUMMYFUNCTION("CONCAT(""&lt;"",GOOGLETRANSLATE(B2834,""en"",""ar""))"),"&lt;بيجثان")</f>
        <v>&lt;بيجثان</v>
      </c>
      <c r="C2835" s="2" t="str">
        <f>IFERROR(__xludf.DUMMYFUNCTION("CONCAT(""&lt;"",GOOGLETRANSLATE(C2834,""en"",""ar""))"),"&lt;بيجثان الخصي خادم Ahasuerus")</f>
        <v>&lt;بيجثان الخصي خادم Ahasuerus</v>
      </c>
    </row>
    <row r="2836" ht="15.75" customHeight="1">
      <c r="A2836" s="1" t="s">
        <v>3364</v>
      </c>
      <c r="B2836" s="2" t="s">
        <v>3365</v>
      </c>
      <c r="C2836" s="2"/>
    </row>
    <row r="2837" ht="15.75" customHeight="1">
      <c r="A2837" s="2"/>
      <c r="B2837" s="2" t="s">
        <v>3366</v>
      </c>
      <c r="C2837" s="2" t="s">
        <v>3367</v>
      </c>
    </row>
    <row r="2838" ht="15.75" customHeight="1">
      <c r="A2838" s="2" t="s">
        <v>4</v>
      </c>
      <c r="B2838" s="2" t="str">
        <f>IFERROR(__xludf.DUMMYFUNCTION("CONCAT(""&lt;"",GOOGLETRANSLATE(B2837,""en"",""ar""))"),"&lt;وحيد")</f>
        <v>&lt;وحيد</v>
      </c>
      <c r="C2838" s="2" t="str">
        <f>IFERROR(__xludf.DUMMYFUNCTION("CONCAT(""&lt;"",GOOGLETRANSLATE(C2837,""en"",""ar""))"),"&lt;(هـ) معزول ، وحده")</f>
        <v>&lt;(هـ) معزول ، وحده</v>
      </c>
    </row>
    <row r="2839" ht="15.75" customHeight="1">
      <c r="A2839" s="1" t="s">
        <v>3368</v>
      </c>
      <c r="B2839" s="2" t="s">
        <v>3369</v>
      </c>
      <c r="C2839" s="2"/>
    </row>
    <row r="2840" ht="15.75" customHeight="1">
      <c r="A2840" s="2"/>
      <c r="B2840" s="2" t="s">
        <v>3370</v>
      </c>
      <c r="C2840" s="2" t="s">
        <v>3371</v>
      </c>
    </row>
    <row r="2841" ht="15.75" customHeight="1">
      <c r="A2841" s="2" t="s">
        <v>4</v>
      </c>
      <c r="B2841" s="2" t="str">
        <f>IFERROR(__xludf.DUMMYFUNCTION("CONCAT(""&lt;"",GOOGLETRANSLATE(B2840,""en"",""ar""))"),"&lt;الكتان")</f>
        <v>&lt;الكتان</v>
      </c>
      <c r="C2841" s="2" t="str">
        <f>IFERROR(__xludf.DUMMYFUNCTION("CONCAT(""&lt;"",GOOGLETRANSLATE(C2840,""en"",""ar""))"),"&lt;(د) الكتان ، ملابس الكتان")</f>
        <v>&lt;(د) الكتان ، ملابس الكتان</v>
      </c>
    </row>
    <row r="2842" ht="15.75" customHeight="1">
      <c r="A2842" s="1" t="s">
        <v>3372</v>
      </c>
      <c r="B2842" s="2" t="s">
        <v>3373</v>
      </c>
      <c r="C2842" s="2"/>
    </row>
    <row r="2843" ht="15.75" customHeight="1">
      <c r="A2843" s="2"/>
      <c r="B2843" s="2" t="s">
        <v>3374</v>
      </c>
      <c r="C2843" s="2" t="s">
        <v>3375</v>
      </c>
    </row>
    <row r="2844" ht="15.75" customHeight="1">
      <c r="A2844" s="2" t="s">
        <v>4</v>
      </c>
      <c r="B2844" s="2" t="str">
        <f>IFERROR(__xludf.DUMMYFUNCTION("CONCAT(""&lt;"",GOOGLETRANSLATE(B2843,""en"",""ar""))"),"&lt;Bluster")</f>
        <v>&lt;Bluster</v>
      </c>
      <c r="C2844" s="2" t="str">
        <f>IFERROR(__xludf.DUMMYFUNCTION("CONCAT(""&lt;"",GOOGLETRANSLATE(C2843,""en"",""ar""))"),"&lt;(ب) القيل والقال ، حديث الخمول")</f>
        <v>&lt;(ب) القيل والقال ، حديث الخمول</v>
      </c>
    </row>
    <row r="2845" ht="15.75" customHeight="1">
      <c r="A2845" s="1" t="s">
        <v>3376</v>
      </c>
      <c r="B2845" s="2" t="s">
        <v>3377</v>
      </c>
      <c r="C2845" s="2"/>
    </row>
    <row r="2846" ht="15.75" customHeight="1">
      <c r="A2846" s="2"/>
      <c r="B2846" s="2" t="s">
        <v>3378</v>
      </c>
      <c r="C2846" s="2" t="s">
        <v>3379</v>
      </c>
    </row>
    <row r="2847" ht="15.75" customHeight="1">
      <c r="A2847" s="2" t="s">
        <v>4</v>
      </c>
      <c r="B2847" s="2" t="str">
        <f>IFERROR(__xludf.DUMMYFUNCTION("CONCAT(""&lt;"",GOOGLETRANSLATE(B2846,""en"",""ar""))"),"&lt;ابتكار")</f>
        <v>&lt;ابتكار</v>
      </c>
      <c r="C2847" s="2" t="str">
        <f>IFERROR(__xludf.DUMMYFUNCTION("CONCAT(""&lt;"",GOOGLETRANSLATE(C2846,""en"",""ar""))"),"&lt;QAL للاختراع ، ابتكار")</f>
        <v>&lt;QAL للاختراع ، ابتكار</v>
      </c>
    </row>
    <row r="2848" ht="15.75" customHeight="1">
      <c r="A2848" s="1" t="s">
        <v>3380</v>
      </c>
      <c r="B2848" s="2" t="s">
        <v>3381</v>
      </c>
      <c r="C2848" s="2"/>
    </row>
    <row r="2849" ht="15.75" customHeight="1">
      <c r="A2849" s="2"/>
      <c r="B2849" s="2" t="s">
        <v>3382</v>
      </c>
      <c r="C2849" s="2" t="s">
        <v>3383</v>
      </c>
    </row>
    <row r="2850" ht="15.75" customHeight="1">
      <c r="A2850" s="2" t="s">
        <v>4</v>
      </c>
      <c r="B2850" s="2" t="str">
        <f>IFERROR(__xludf.DUMMYFUNCTION("CONCAT(""&lt;"",GOOGLETRANSLATE(B2849,""en"",""ar""))"),"&lt;كن وحيدا")</f>
        <v>&lt;كن وحيدا</v>
      </c>
      <c r="C2850" s="2" t="str">
        <f>IFERROR(__xludf.DUMMYFUNCTION("CONCAT(""&lt;"",GOOGLETRANSLATE(C2849,""en"",""ar""))"),"&lt;QAL لتكون وحدها ، معزولة")</f>
        <v>&lt;QAL لتكون وحدها ، معزولة</v>
      </c>
    </row>
    <row r="2851" ht="15.75" customHeight="1">
      <c r="A2851" s="1" t="s">
        <v>3384</v>
      </c>
      <c r="B2851" s="2" t="s">
        <v>3385</v>
      </c>
      <c r="C2851" s="2"/>
    </row>
    <row r="2852" ht="15.75" customHeight="1">
      <c r="A2852" s="2"/>
      <c r="B2852" s="2" t="s">
        <v>3386</v>
      </c>
      <c r="C2852" s="2" t="s">
        <v>3387</v>
      </c>
    </row>
    <row r="2853" ht="15.75" customHeight="1">
      <c r="A2853" s="2" t="s">
        <v>4</v>
      </c>
      <c r="B2853" s="2" t="str">
        <f>IFERROR(__xludf.DUMMYFUNCTION("CONCAT(""&lt;"",GOOGLETRANSLATE(B2852,""en"",""ar""))"),"&lt;عزل")</f>
        <v>&lt;عزل</v>
      </c>
      <c r="C2853" s="2" t="str">
        <f>IFERROR(__xludf.DUMMYFUNCTION("CONCAT(""&lt;"",GOOGLETRANSLATE(C2852,""en"",""ar""))"),"&lt;وحده ، معزولة")</f>
        <v>&lt;وحده ، معزولة</v>
      </c>
    </row>
    <row r="2854" ht="15.75" customHeight="1">
      <c r="A2854" s="1" t="s">
        <v>3388</v>
      </c>
      <c r="B2854" s="2" t="s">
        <v>3389</v>
      </c>
      <c r="C2854" s="2"/>
    </row>
    <row r="2855" ht="15.75" customHeight="1">
      <c r="A2855" s="2"/>
      <c r="B2855" s="2" t="s">
        <v>3390</v>
      </c>
      <c r="C2855" s="2" t="s">
        <v>3391</v>
      </c>
    </row>
    <row r="2856" ht="15.75" customHeight="1">
      <c r="A2856" s="2" t="s">
        <v>4</v>
      </c>
      <c r="B2856" s="2" t="str">
        <f>IFERROR(__xludf.DUMMYFUNCTION("CONCAT(""&lt;"",GOOGLETRANSLATE(B2855,""en"",""ar""))"),"&lt;بيداد")</f>
        <v>&lt;بيداد</v>
      </c>
      <c r="C2856" s="2" t="str">
        <f>IFERROR(__xludf.DUMMYFUNCTION("CONCAT(""&lt;"",GOOGLETRANSLATE(C2855,""en"",""ar""))"),"&lt;بيداد والد حضاد الأدوميت")</f>
        <v>&lt;بيداد والد حضاد الأدوميت</v>
      </c>
    </row>
    <row r="2857" ht="15.75" customHeight="1">
      <c r="A2857" s="1" t="s">
        <v>3392</v>
      </c>
      <c r="B2857" s="2" t="s">
        <v>3393</v>
      </c>
      <c r="C2857" s="2"/>
    </row>
    <row r="2858" ht="15.75" customHeight="1">
      <c r="A2858" s="2"/>
      <c r="B2858" s="2" t="s">
        <v>3394</v>
      </c>
      <c r="C2858" s="2" t="s">
        <v>3395</v>
      </c>
    </row>
    <row r="2859" ht="15.75" customHeight="1">
      <c r="A2859" s="2" t="s">
        <v>4</v>
      </c>
      <c r="B2859" s="2" t="str">
        <f>IFERROR(__xludf.DUMMYFUNCTION("CONCAT(""&lt;"",GOOGLETRANSLATE(B2858,""en"",""ar""))"),"&lt;بيديا")</f>
        <v>&lt;بيديا</v>
      </c>
      <c r="C2859" s="2" t="str">
        <f>IFERROR(__xludf.DUMMYFUNCTION("CONCAT(""&lt;"",GOOGLETRANSLATE(C2858,""en"",""ar""))"),"&lt;بيديا رجل؛ زوجة أجنبية متزوجة بعد المنفى")</f>
        <v>&lt;بيديا رجل؛ زوجة أجنبية متزوجة بعد المنفى</v>
      </c>
    </row>
    <row r="2860" ht="15.75" customHeight="1">
      <c r="A2860" s="1" t="s">
        <v>3396</v>
      </c>
      <c r="B2860" s="2" t="s">
        <v>3397</v>
      </c>
      <c r="C2860" s="2"/>
    </row>
    <row r="2861" ht="15.75" customHeight="1">
      <c r="A2861" s="2"/>
      <c r="B2861" s="2" t="s">
        <v>3398</v>
      </c>
      <c r="C2861" s="2" t="s">
        <v>3399</v>
      </c>
    </row>
    <row r="2862" ht="15.75" customHeight="1">
      <c r="A2862" s="2" t="s">
        <v>4</v>
      </c>
      <c r="B2862" s="2" t="str">
        <f>IFERROR(__xludf.DUMMYFUNCTION("CONCAT(""&lt;"",GOOGLETRANSLATE(B2861,""en"",""ar""))"),"&lt;القصدير")</f>
        <v>&lt;القصدير</v>
      </c>
      <c r="C2862" s="2" t="str">
        <f>IFERROR(__xludf.DUMMYFUNCTION("CONCAT(""&lt;"",GOOGLETRANSLATE(C2861,""en"",""ar""))"),"&lt;القصدير \ (ذوبان) الخبث")</f>
        <v>&lt;القصدير \ (ذوبان) الخبث</v>
      </c>
    </row>
    <row r="2863" ht="15.75" customHeight="1">
      <c r="A2863" s="1" t="s">
        <v>3400</v>
      </c>
      <c r="B2863" s="2" t="s">
        <v>3401</v>
      </c>
      <c r="C2863" s="2"/>
    </row>
    <row r="2864" ht="15.75" customHeight="1">
      <c r="A2864" s="2"/>
      <c r="B2864" s="2" t="s">
        <v>3402</v>
      </c>
      <c r="C2864" s="2" t="s">
        <v>3403</v>
      </c>
    </row>
    <row r="2865" ht="15.75" customHeight="1">
      <c r="A2865" s="2" t="s">
        <v>4</v>
      </c>
      <c r="B2865" s="2" t="str">
        <f>IFERROR(__xludf.DUMMYFUNCTION("CONCAT(""&lt;"",GOOGLETRANSLATE(B2864,""en"",""ar""))"),"&lt;لفصل")</f>
        <v>&lt;لفصل</v>
      </c>
      <c r="C2865" s="2" t="str">
        <f>IFERROR(__xludf.DUMMYFUNCTION("CONCAT(""&lt;"",GOOGLETRANSLATE(C2864,""en"",""ar""))"),"&lt;(أ) نيف. ليتم فصلها ، للاختيار ؛ (ب) HIF. للانفصال ، للاختيار")</f>
        <v>&lt;(أ) نيف. ليتم فصلها ، للاختيار ؛ (ب) HIF. للانفصال ، للاختيار</v>
      </c>
    </row>
    <row r="2866" ht="15.75" customHeight="1">
      <c r="A2866" s="1" t="s">
        <v>3404</v>
      </c>
      <c r="B2866" s="2" t="s">
        <v>3405</v>
      </c>
      <c r="C2866" s="2"/>
    </row>
    <row r="2867" ht="15.75" customHeight="1">
      <c r="A2867" s="2"/>
      <c r="B2867" s="2" t="s">
        <v>356</v>
      </c>
      <c r="C2867" s="2" t="s">
        <v>3406</v>
      </c>
    </row>
    <row r="2868" ht="15.75" customHeight="1">
      <c r="A2868" s="2" t="s">
        <v>4</v>
      </c>
      <c r="B2868" s="2" t="str">
        <f>IFERROR(__xludf.DUMMYFUNCTION("CONCAT(""&lt;"",GOOGLETRANSLATE(B2867,""en"",""ar""))"),"&lt;قطعة")</f>
        <v>&lt;قطعة</v>
      </c>
      <c r="C2868" s="2" t="str">
        <f>IFERROR(__xludf.DUMMYFUNCTION("CONCAT(""&lt;"",GOOGLETRANSLATE(C2867,""en"",""ar""))"),"&lt;ركن ، قطعة")</f>
        <v>&lt;ركن ، قطعة</v>
      </c>
    </row>
    <row r="2869" ht="15.75" customHeight="1">
      <c r="A2869" s="1" t="s">
        <v>3407</v>
      </c>
      <c r="B2869" s="2" t="s">
        <v>3408</v>
      </c>
      <c r="C2869" s="2"/>
    </row>
    <row r="2870" ht="15.75" customHeight="1">
      <c r="A2870" s="2"/>
      <c r="B2870" s="2" t="s">
        <v>3409</v>
      </c>
      <c r="C2870" s="2" t="s">
        <v>3410</v>
      </c>
    </row>
    <row r="2871" ht="15.75" customHeight="1">
      <c r="A2871" s="2" t="s">
        <v>4</v>
      </c>
      <c r="B2871" s="2" t="str">
        <f>IFERROR(__xludf.DUMMYFUNCTION("CONCAT(""&lt;"",GOOGLETRANSLATE(B2870,""en"",""ar""))"),"&lt;bdellium")</f>
        <v>&lt;bdellium</v>
      </c>
      <c r="C2871" s="2" t="str">
        <f>IFERROR(__xludf.DUMMYFUNCTION("CONCAT(""&lt;"",GOOGLETRANSLATE(C2870,""en"",""ar""))"),"&lt;Bdellium صمغ")</f>
        <v>&lt;Bdellium صمغ</v>
      </c>
    </row>
    <row r="2872" ht="15.75" customHeight="1">
      <c r="A2872" s="1" t="s">
        <v>3411</v>
      </c>
      <c r="B2872" s="2" t="s">
        <v>3412</v>
      </c>
      <c r="C2872" s="2"/>
    </row>
    <row r="2873" ht="15.75" customHeight="1">
      <c r="A2873" s="2"/>
      <c r="B2873" s="2" t="s">
        <v>3413</v>
      </c>
      <c r="C2873" s="2" t="s">
        <v>3414</v>
      </c>
    </row>
    <row r="2874" ht="15.75" customHeight="1">
      <c r="A2874" s="2" t="s">
        <v>4</v>
      </c>
      <c r="B2874" s="2" t="str">
        <f>IFERROR(__xludf.DUMMYFUNCTION("CONCAT(""&lt;"",GOOGLETRANSLATE(B2873,""en"",""ar""))"),"&lt;بيدان")</f>
        <v>&lt;بيدان</v>
      </c>
      <c r="C2874" s="2" t="str">
        <f>IFERROR(__xludf.DUMMYFUNCTION("CONCAT(""&lt;"",GOOGLETRANSLATE(C2873,""en"",""ar""))"),"&lt;(أ) بيدان ؛ قاضي إسرائيل. (ب) بيدان ؛ ابن أولام قبيلة ماناس")</f>
        <v>&lt;(أ) بيدان ؛ قاضي إسرائيل. (ب) بيدان ؛ ابن أولام قبيلة ماناس</v>
      </c>
    </row>
    <row r="2875" ht="15.75" customHeight="1">
      <c r="A2875" s="1" t="s">
        <v>3415</v>
      </c>
      <c r="B2875" s="2" t="s">
        <v>3416</v>
      </c>
      <c r="C2875" s="2"/>
    </row>
    <row r="2876" ht="15.75" customHeight="1">
      <c r="A2876" s="2"/>
      <c r="B2876" s="2" t="s">
        <v>3417</v>
      </c>
      <c r="C2876" s="2" t="s">
        <v>3418</v>
      </c>
    </row>
    <row r="2877" ht="15.75" customHeight="1">
      <c r="A2877" s="2" t="s">
        <v>4</v>
      </c>
      <c r="B2877" s="2" t="str">
        <f>IFERROR(__xludf.DUMMYFUNCTION("CONCAT(""&lt;"",GOOGLETRANSLATE(B2876,""en"",""ar""))"),"&lt;يصلح")</f>
        <v>&lt;يصلح</v>
      </c>
      <c r="C2877" s="2" t="str">
        <f>IFERROR(__xludf.DUMMYFUNCTION("CONCAT(""&lt;"",GOOGLETRANSLATE(C2876,""en"",""ar""))"),"&lt;QAL لإصلاح")</f>
        <v>&lt;QAL لإصلاح</v>
      </c>
    </row>
    <row r="2878" ht="15.75" customHeight="1">
      <c r="A2878" s="1" t="s">
        <v>3419</v>
      </c>
      <c r="B2878" s="2" t="s">
        <v>3420</v>
      </c>
      <c r="C2878" s="2"/>
    </row>
    <row r="2879" ht="15.75" customHeight="1">
      <c r="A2879" s="2"/>
      <c r="B2879" s="2" t="s">
        <v>3421</v>
      </c>
      <c r="C2879" s="2" t="s">
        <v>3422</v>
      </c>
    </row>
    <row r="2880" ht="15.75" customHeight="1">
      <c r="A2880" s="2" t="s">
        <v>4</v>
      </c>
      <c r="B2880" s="2" t="str">
        <f>IFERROR(__xludf.DUMMYFUNCTION("CONCAT(""&lt;"",GOOGLETRANSLATE(B2879,""en"",""ar""))"),"&lt;يخرق")</f>
        <v>&lt;يخرق</v>
      </c>
      <c r="C2880" s="2" t="str">
        <f>IFERROR(__xludf.DUMMYFUNCTION("CONCAT(""&lt;"",GOOGLETRANSLATE(C2879,""en"",""ar""))"),"&lt;تمزق ، تسرب")</f>
        <v>&lt;تمزق ، تسرب</v>
      </c>
    </row>
    <row r="2881" ht="15.75" customHeight="1">
      <c r="A2881" s="1" t="s">
        <v>3423</v>
      </c>
      <c r="B2881" s="2" t="s">
        <v>3424</v>
      </c>
      <c r="C2881" s="2"/>
    </row>
    <row r="2882" ht="15.75" customHeight="1">
      <c r="A2882" s="2"/>
      <c r="B2882" s="2" t="s">
        <v>3425</v>
      </c>
      <c r="C2882" s="2" t="s">
        <v>3426</v>
      </c>
    </row>
    <row r="2883" ht="15.75" customHeight="1">
      <c r="A2883" s="2" t="s">
        <v>4</v>
      </c>
      <c r="B2883" s="2" t="str">
        <f>IFERROR(__xludf.DUMMYFUNCTION("CONCAT(""&lt;"",GOOGLETRANSLATE(B2882,""en"",""ar""))"),"&lt;بيدكار")</f>
        <v>&lt;بيدكار</v>
      </c>
      <c r="C2883" s="2" t="str">
        <f>IFERROR(__xludf.DUMMYFUNCTION("CONCAT(""&lt;"",GOOGLETRANSLATE(C2882,""en"",""ar""))"),"&lt;بيدكار ؛ ضابط عربة في يهو")</f>
        <v>&lt;بيدكار ؛ ضابط عربة في يهو</v>
      </c>
    </row>
    <row r="2884" ht="15.75" customHeight="1">
      <c r="A2884" s="1" t="s">
        <v>3427</v>
      </c>
      <c r="B2884" s="2" t="s">
        <v>3428</v>
      </c>
      <c r="C2884" s="2"/>
    </row>
    <row r="2885" ht="15.75" customHeight="1">
      <c r="A2885" s="2"/>
      <c r="B2885" s="2" t="s">
        <v>3429</v>
      </c>
    </row>
    <row r="2886" ht="15.75" customHeight="1">
      <c r="A2886" s="2" t="s">
        <v>4</v>
      </c>
      <c r="B2886" s="2" t="str">
        <f>IFERROR(__xludf.DUMMYFUNCTION("CONCAT(""&lt;"",GOOGLETRANSLATE(B2885,""en"",""ar""))"),"&lt;للانتثار")</f>
        <v>&lt;للانتثار</v>
      </c>
      <c r="C2886" s="2"/>
    </row>
    <row r="2887" ht="15.75" customHeight="1">
      <c r="A2887" s="1" t="s">
        <v>3430</v>
      </c>
      <c r="B2887" s="2" t="s">
        <v>3431</v>
      </c>
      <c r="C2887" s="2"/>
    </row>
    <row r="2888" ht="15.75" customHeight="1">
      <c r="A2888" s="2"/>
      <c r="B2888" s="2" t="s">
        <v>3432</v>
      </c>
      <c r="C2888" s="2" t="s">
        <v>3433</v>
      </c>
    </row>
    <row r="2889" ht="15.75" customHeight="1">
      <c r="A2889" s="2" t="s">
        <v>4</v>
      </c>
      <c r="B2889" s="2" t="str">
        <f>IFERROR(__xludf.DUMMYFUNCTION("CONCAT(""&lt;"",GOOGLETRANSLATE(B2888,""en"",""ar""))"),"&lt;فارغ")</f>
        <v>&lt;فارغ</v>
      </c>
      <c r="C2889" s="2" t="str">
        <f>IFERROR(__xludf.DUMMYFUNCTION("CONCAT(""&lt;"",GOOGLETRANSLATE(C2888,""en"",""ar""))"),"&lt;الفراغ ، القفرة")</f>
        <v>&lt;الفراغ ، القفرة</v>
      </c>
    </row>
    <row r="2890" ht="15.75" customHeight="1">
      <c r="A2890" s="1" t="s">
        <v>3434</v>
      </c>
      <c r="B2890" s="2" t="s">
        <v>3435</v>
      </c>
      <c r="C2890" s="2"/>
    </row>
    <row r="2891" ht="15.75" customHeight="1">
      <c r="A2891" s="2"/>
      <c r="B2891" s="2" t="s">
        <v>3436</v>
      </c>
      <c r="C2891" s="2" t="s">
        <v>3437</v>
      </c>
    </row>
    <row r="2892" ht="15.75" customHeight="1">
      <c r="A2892" s="2" t="s">
        <v>4</v>
      </c>
      <c r="B2892" s="2" t="str">
        <f>IFERROR(__xludf.DUMMYFUNCTION("CONCAT(""&lt;"",GOOGLETRANSLATE(B2891,""en"",""ar""))"),"&lt;الرخام السماقي")</f>
        <v>&lt;الرخام السماقي</v>
      </c>
      <c r="C2892" s="2" t="str">
        <f>IFERROR(__xludf.DUMMYFUNCTION("CONCAT(""&lt;"",GOOGLETRANSLATE(C2891,""en"",""ar""))"),"&lt;نوع غير معروف من الحجر الثمين")</f>
        <v>&lt;نوع غير معروف من الحجر الثمين</v>
      </c>
    </row>
    <row r="2893" ht="15.75" customHeight="1">
      <c r="A2893" s="1" t="s">
        <v>3438</v>
      </c>
      <c r="B2893" s="2" t="s">
        <v>3439</v>
      </c>
      <c r="C2893" s="2"/>
    </row>
    <row r="2894" ht="15.75" customHeight="1">
      <c r="A2894" s="2"/>
      <c r="B2894" s="2" t="s">
        <v>3440</v>
      </c>
      <c r="C2894" s="2" t="s">
        <v>3441</v>
      </c>
    </row>
    <row r="2895" ht="15.75" customHeight="1">
      <c r="A2895" s="2" t="s">
        <v>4</v>
      </c>
      <c r="B2895" s="2" t="str">
        <f>IFERROR(__xludf.DUMMYFUNCTION("CONCAT(""&lt;"",GOOGLETRANSLATE(B2894,""en"",""ar""))"),"&lt;على عجل")</f>
        <v>&lt;على عجل</v>
      </c>
      <c r="C2895" s="2" t="str">
        <f>IFERROR(__xludf.DUMMYFUNCTION("CONCAT(""&lt;"",GOOGLETRANSLATE(C2894,""en"",""ar""))"),"&lt;(1 أ) نيف. لتكون متسرع. (1 ب) بي. لتسريح. (1C) بو. النعت: التعجل ، اكتسب على عجل ؛ (1D) HIF. لإزالة على عجل. (1E) HIF. على عجل (2A) نيف. أن تكون منزعجًا ، مرعوبًا ؛ (2 ب) بي. للاستياء ، للتخويف ؛ (2C) HIF. للاستياء ، للتخويف")</f>
        <v>&lt;(1 أ) نيف. لتكون متسرع. (1 ب) بي. لتسريح. (1C) بو. النعت: التعجل ، اكتسب على عجل ؛ (1D) HIF. لإزالة على عجل. (1E) HIF. على عجل (2A) نيف. أن تكون منزعجًا ، مرعوبًا ؛ (2 ب) بي. للاستياء ، للتخويف ؛ (2C) HIF. للاستياء ، للتخويف</v>
      </c>
    </row>
    <row r="2896" ht="15.75" customHeight="1">
      <c r="A2896" s="1" t="s">
        <v>3442</v>
      </c>
      <c r="B2896" s="2" t="s">
        <v>3443</v>
      </c>
      <c r="C2896" s="2"/>
    </row>
    <row r="2897" ht="15.75" customHeight="1">
      <c r="A2897" s="2"/>
      <c r="B2897" s="2" t="s">
        <v>3444</v>
      </c>
      <c r="C2897" s="2" t="s">
        <v>3445</v>
      </c>
    </row>
    <row r="2898" ht="15.75" customHeight="1">
      <c r="A2898" s="2" t="s">
        <v>4</v>
      </c>
      <c r="B2898" s="2" t="str">
        <f>IFERROR(__xludf.DUMMYFUNCTION("CONCAT(""&lt;"",GOOGLETRANSLATE(B2897,""en"",""ar""))"),"&lt;ساطع")</f>
        <v>&lt;ساطع</v>
      </c>
      <c r="C2898" s="2" t="str">
        <f>IFERROR(__xludf.DUMMYFUNCTION("CONCAT(""&lt;"",GOOGLETRANSLATE(C2897,""en"",""ar""))"),"&lt;باهِر؟ داكن؟")</f>
        <v>&lt;باهِر؟ داكن؟</v>
      </c>
    </row>
    <row r="2899" ht="15.75" customHeight="1">
      <c r="A2899" s="1" t="s">
        <v>3446</v>
      </c>
      <c r="B2899" s="2" t="s">
        <v>3447</v>
      </c>
      <c r="C2899" s="2"/>
    </row>
    <row r="2900" ht="15.75" customHeight="1">
      <c r="A2900" s="2"/>
      <c r="B2900" s="2" t="s">
        <v>3448</v>
      </c>
    </row>
    <row r="2901" ht="15.75" customHeight="1">
      <c r="A2901" s="2" t="s">
        <v>4</v>
      </c>
      <c r="B2901" s="2" t="str">
        <f>IFERROR(__xludf.DUMMYFUNCTION("CONCAT(""&lt;"",GOOGLETRANSLATE(B2900,""en"",""ar""))"),"&lt;للفزع")</f>
        <v>&lt;للفزع</v>
      </c>
      <c r="C2901" s="2"/>
    </row>
    <row r="2902" ht="15.75" customHeight="1">
      <c r="A2902" s="1" t="s">
        <v>3449</v>
      </c>
      <c r="B2902" s="2" t="s">
        <v>3450</v>
      </c>
      <c r="C2902" s="2"/>
    </row>
    <row r="2903" ht="15.75" customHeight="1">
      <c r="A2903" s="2"/>
      <c r="B2903" s="2" t="s">
        <v>3448</v>
      </c>
      <c r="C2903" s="2" t="s">
        <v>3441</v>
      </c>
    </row>
    <row r="2904" ht="15.75" customHeight="1">
      <c r="A2904" s="2" t="s">
        <v>4</v>
      </c>
      <c r="B2904" s="2" t="str">
        <f>IFERROR(__xludf.DUMMYFUNCTION("CONCAT(""&lt;"",GOOGLETRANSLATE(B2903,""en"",""ar""))"),"&lt;للفزع")</f>
        <v>&lt;للفزع</v>
      </c>
      <c r="C2904" s="2" t="str">
        <f>IFERROR(__xludf.DUMMYFUNCTION("CONCAT(""&lt;"",GOOGLETRANSLATE(C2903,""en"",""ar""))"),"&lt;(1 أ) نيف. لتكون متسرع. (1 ب) بي. لتسريح. (1C) بو. النعت: التعجل ، اكتسب على عجل ؛ (1D) HIF. لإزالة على عجل. (1E) HIF. على عجل (2A) نيف. أن تكون منزعجًا ، مرعوبًا ؛ (2 ب) بي. للاستياء ، للتخويف ؛ (2C) HIF. للاستياء ، للتخويف")</f>
        <v>&lt;(1 أ) نيف. لتكون متسرع. (1 ب) بي. لتسريح. (1C) بو. النعت: التعجل ، اكتسب على عجل ؛ (1D) HIF. لإزالة على عجل. (1E) HIF. على عجل (2A) نيف. أن تكون منزعجًا ، مرعوبًا ؛ (2 ب) بي. للاستياء ، للتخويف ؛ (2C) HIF. للاستياء ، للتخويف</v>
      </c>
    </row>
    <row r="2905" ht="15.75" customHeight="1">
      <c r="A2905" s="1" t="s">
        <v>3451</v>
      </c>
      <c r="B2905" s="2" t="s">
        <v>3452</v>
      </c>
      <c r="C2905" s="2"/>
    </row>
    <row r="2906" ht="15.75" customHeight="1">
      <c r="A2906" s="2"/>
      <c r="B2906" s="2" t="s">
        <v>3453</v>
      </c>
      <c r="C2906" s="2" t="s">
        <v>3454</v>
      </c>
    </row>
    <row r="2907" ht="15.75" customHeight="1">
      <c r="A2907" s="2" t="s">
        <v>4</v>
      </c>
      <c r="B2907" s="2" t="str">
        <f>IFERROR(__xludf.DUMMYFUNCTION("CONCAT(""&lt;"",GOOGLETRANSLATE(B2906,""en"",""ar""))"),"&lt;فزع")</f>
        <v>&lt;فزع</v>
      </c>
      <c r="C2907" s="2" t="str">
        <f>IFERROR(__xludf.DUMMYFUNCTION("CONCAT(""&lt;"",GOOGLETRANSLATE(C2906,""en"",""ar""))"),"&lt;الإرهاب المفاجئ")</f>
        <v>&lt;الإرهاب المفاجئ</v>
      </c>
    </row>
    <row r="2908" ht="15.75" customHeight="1">
      <c r="A2908" s="1" t="s">
        <v>3455</v>
      </c>
      <c r="B2908" s="2" t="s">
        <v>3456</v>
      </c>
      <c r="C2908" s="2"/>
    </row>
    <row r="2909" ht="15.75" customHeight="1">
      <c r="A2909" s="2"/>
      <c r="B2909" s="2" t="s">
        <v>3457</v>
      </c>
      <c r="C2909" s="2" t="s">
        <v>3458</v>
      </c>
    </row>
    <row r="2910" ht="15.75" customHeight="1">
      <c r="A2910" s="2" t="s">
        <v>4</v>
      </c>
      <c r="B2910" s="2" t="str">
        <f>IFERROR(__xludf.DUMMYFUNCTION("CONCAT(""&lt;"",GOOGLETRANSLATE(B2909,""en"",""ar""))"),"&lt;حيوان")</f>
        <v>&lt;حيوان</v>
      </c>
      <c r="C2910" s="2" t="str">
        <f>IFERROR(__xludf.DUMMYFUNCTION("CONCAT(""&lt;"",GOOGLETRANSLATE(C2909,""en"",""ar""))"),"&lt;الماشية ، الحيوانات")</f>
        <v>&lt;الماشية ، الحيوانات</v>
      </c>
    </row>
    <row r="2911" ht="15.75" customHeight="1">
      <c r="A2911" s="1" t="s">
        <v>3459</v>
      </c>
      <c r="B2911" s="2" t="s">
        <v>3460</v>
      </c>
      <c r="C2911" s="2"/>
    </row>
    <row r="2912" ht="15.75" customHeight="1">
      <c r="A2912" s="2"/>
      <c r="B2912" s="2" t="s">
        <v>3461</v>
      </c>
      <c r="C2912" s="2" t="s">
        <v>3462</v>
      </c>
    </row>
    <row r="2913" ht="15.75" customHeight="1">
      <c r="A2913" s="2" t="s">
        <v>4</v>
      </c>
      <c r="B2913" s="2" t="str">
        <f>IFERROR(__xludf.DUMMYFUNCTION("CONCAT(""&lt;"",GOOGLETRANSLATE(B2912,""en"",""ar""))"),"&lt;عملاق")</f>
        <v>&lt;عملاق</v>
      </c>
      <c r="C2913" s="2" t="str">
        <f>IFERROR(__xludf.DUMMYFUNCTION("CONCAT(""&lt;"",GOOGLETRANSLATE(C2912,""en"",""ar""))"),"&lt;فرس نهر؟")</f>
        <v>&lt;فرس نهر؟</v>
      </c>
    </row>
    <row r="2914" ht="15.75" customHeight="1">
      <c r="A2914" s="1" t="s">
        <v>3463</v>
      </c>
      <c r="B2914" s="2" t="s">
        <v>3464</v>
      </c>
      <c r="C2914" s="2"/>
    </row>
    <row r="2915" ht="15.75" customHeight="1">
      <c r="A2915" s="2"/>
      <c r="B2915" s="2" t="s">
        <v>3465</v>
      </c>
      <c r="C2915" s="2" t="s">
        <v>3466</v>
      </c>
    </row>
    <row r="2916" ht="15.75" customHeight="1">
      <c r="A2916" s="2" t="s">
        <v>4</v>
      </c>
      <c r="B2916" s="2" t="str">
        <f>IFERROR(__xludf.DUMMYFUNCTION("CONCAT(""&lt;"",GOOGLETRANSLATE(B2915,""en"",""ar""))"),"&lt;الإبهام | إصبع القدم الكبير")</f>
        <v>&lt;الإبهام | إصبع القدم الكبير</v>
      </c>
      <c r="C2916" s="2" t="str">
        <f>IFERROR(__xludf.DUMMYFUNCTION("CONCAT(""&lt;"",GOOGLETRANSLATE(C2915,""en"",""ar""))"),"&lt;الإبهام ، إصبع القدم الكبير")</f>
        <v>&lt;الإبهام ، إصبع القدم الكبير</v>
      </c>
    </row>
    <row r="2917" ht="15.75" customHeight="1">
      <c r="A2917" s="1" t="s">
        <v>3467</v>
      </c>
      <c r="B2917" s="2" t="s">
        <v>3468</v>
      </c>
      <c r="C2917" s="2"/>
    </row>
    <row r="2918" ht="15.75" customHeight="1">
      <c r="A2918" s="2"/>
      <c r="B2918" s="2" t="s">
        <v>3469</v>
      </c>
      <c r="C2918" s="2" t="s">
        <v>3470</v>
      </c>
    </row>
    <row r="2919" ht="15.75" customHeight="1">
      <c r="A2919" s="2" t="s">
        <v>4</v>
      </c>
      <c r="B2919" s="2" t="str">
        <f>IFERROR(__xludf.DUMMYFUNCTION("CONCAT(""&lt;"",GOOGLETRANSLATE(B2918,""en"",""ar""))"),"&lt;بوهان")</f>
        <v>&lt;بوهان</v>
      </c>
      <c r="C2919" s="2" t="str">
        <f>IFERROR(__xludf.DUMMYFUNCTION("CONCAT(""&lt;"",GOOGLETRANSLATE(C2918,""en"",""ar""))"),"&lt;بوهان ابن روبن")</f>
        <v>&lt;بوهان ابن روبن</v>
      </c>
    </row>
    <row r="2920" ht="15.75" customHeight="1">
      <c r="A2920" s="1" t="s">
        <v>3471</v>
      </c>
      <c r="B2920" s="2" t="s">
        <v>3472</v>
      </c>
      <c r="C2920" s="2"/>
    </row>
    <row r="2921" ht="15.75" customHeight="1">
      <c r="A2921" s="2"/>
      <c r="B2921" s="2" t="s">
        <v>3473</v>
      </c>
      <c r="C2921" s="2" t="s">
        <v>3474</v>
      </c>
    </row>
    <row r="2922" ht="15.75" customHeight="1">
      <c r="A2922" s="2" t="s">
        <v>4</v>
      </c>
      <c r="B2922" s="2" t="str">
        <f>IFERROR(__xludf.DUMMYFUNCTION("CONCAT(""&lt;"",GOOGLETRANSLATE(B2921,""en"",""ar""))"),"&lt;بقعة")</f>
        <v>&lt;بقعة</v>
      </c>
      <c r="C2922" s="2" t="str">
        <f>IFERROR(__xludf.DUMMYFUNCTION("CONCAT(""&lt;"",GOOGLETRANSLATE(C2921,""en"",""ar""))"),"&lt;مرض جلدي؛ ربما البهاق أو leucodermia")</f>
        <v>&lt;مرض جلدي؛ ربما البهاق أو leucodermia</v>
      </c>
    </row>
    <row r="2923" ht="15.75" customHeight="1">
      <c r="A2923" s="1" t="s">
        <v>3475</v>
      </c>
      <c r="B2923" s="2" t="s">
        <v>3476</v>
      </c>
      <c r="C2923" s="2"/>
    </row>
    <row r="2924" ht="15.75" customHeight="1">
      <c r="A2924" s="2"/>
      <c r="B2924" s="2" t="s">
        <v>3477</v>
      </c>
      <c r="C2924" s="2" t="s">
        <v>3478</v>
      </c>
    </row>
    <row r="2925" ht="15.75" customHeight="1">
      <c r="A2925" s="2" t="s">
        <v>4</v>
      </c>
      <c r="B2925" s="2" t="str">
        <f>IFERROR(__xludf.DUMMYFUNCTION("CONCAT(""&lt;"",GOOGLETRANSLATE(B2924,""en"",""ar""))"),"&lt;بقعة مضيئة")</f>
        <v>&lt;بقعة مضيئة</v>
      </c>
      <c r="C2925" s="2" t="str">
        <f>IFERROR(__xludf.DUMMYFUNCTION("CONCAT(""&lt;"",GOOGLETRANSLATE(C2924,""en"",""ar""))"),"&lt;بقعة ، بقعة (على الجلد)")</f>
        <v>&lt;بقعة ، بقعة (على الجلد)</v>
      </c>
    </row>
    <row r="2926" ht="15.75" customHeight="1">
      <c r="A2926" s="1" t="s">
        <v>3479</v>
      </c>
      <c r="B2926" s="2" t="s">
        <v>3480</v>
      </c>
      <c r="C2926" s="2"/>
    </row>
    <row r="2927" ht="15.75" customHeight="1">
      <c r="A2927" s="2"/>
      <c r="B2927" s="2" t="s">
        <v>3481</v>
      </c>
      <c r="C2927" s="2" t="s">
        <v>3482</v>
      </c>
    </row>
    <row r="2928" ht="15.75" customHeight="1">
      <c r="A2928" s="2" t="s">
        <v>4</v>
      </c>
      <c r="B2928" s="2" t="str">
        <f>IFERROR(__xludf.DUMMYFUNCTION("CONCAT(""&lt;"",GOOGLETRANSLATE(B2927,""en"",""ar""))"),"&lt;ليأتي)")</f>
        <v>&lt;ليأتي)</v>
      </c>
      <c r="C2928" s="2" t="str">
        <f>IFERROR(__xludf.DUMMYFUNCTION("CONCAT(""&lt;"",GOOGLETRANSLATE(C2927,""en"",""ar""))"),"&lt;(أ) QAL ليأتي ؛ (ب) HIF. (سببي) لجلب ؛ (ج) هوف. (سلبي من المسبب) ليتم إحضاره")</f>
        <v>&lt;(أ) QAL ليأتي ؛ (ب) HIF. (سببي) لجلب ؛ (ج) هوف. (سلبي من المسبب) ليتم إحضاره</v>
      </c>
    </row>
    <row r="2929" ht="15.75" customHeight="1">
      <c r="A2929" s="1" t="s">
        <v>3483</v>
      </c>
      <c r="B2929" s="2" t="s">
        <v>3484</v>
      </c>
      <c r="C2929" s="2"/>
    </row>
    <row r="2930" ht="15.75" customHeight="1">
      <c r="A2930" s="2"/>
      <c r="B2930" s="2" t="s">
        <v>3485</v>
      </c>
      <c r="C2930" s="2" t="s">
        <v>3486</v>
      </c>
    </row>
    <row r="2931" ht="15.75" customHeight="1">
      <c r="A2931" s="2" t="s">
        <v>4</v>
      </c>
      <c r="B2931" s="2" t="str">
        <f>IFERROR(__xludf.DUMMYFUNCTION("CONCAT(""&lt;"",GOOGLETRANSLATE(B2930,""en"",""ar""))"),"&lt;تحتقر")</f>
        <v>&lt;تحتقر</v>
      </c>
      <c r="C2931" s="2" t="str">
        <f>IFERROR(__xludf.DUMMYFUNCTION("CONCAT(""&lt;"",GOOGLETRANSLATE(C2930,""en"",""ar""))"),"&lt;QAL يحتقر")</f>
        <v>&lt;QAL يحتقر</v>
      </c>
    </row>
    <row r="2932" ht="15.75" customHeight="1">
      <c r="A2932" s="1" t="s">
        <v>3487</v>
      </c>
      <c r="B2932" s="2" t="s">
        <v>3488</v>
      </c>
      <c r="C2932" s="2"/>
    </row>
    <row r="2933" ht="15.75" customHeight="1">
      <c r="A2933" s="2"/>
      <c r="B2933" s="2" t="s">
        <v>3489</v>
      </c>
      <c r="C2933" s="2" t="s">
        <v>3489</v>
      </c>
    </row>
    <row r="2934" ht="15.75" customHeight="1">
      <c r="A2934" s="2" t="s">
        <v>4</v>
      </c>
      <c r="B2934" s="2" t="str">
        <f>IFERROR(__xludf.DUMMYFUNCTION("CONCAT(""&lt;"",GOOGLETRANSLATE(B2933,""en"",""ar""))"),"&lt;ازدراء")</f>
        <v>&lt;ازدراء</v>
      </c>
      <c r="C2934" s="2" t="str">
        <f>IFERROR(__xludf.DUMMYFUNCTION("CONCAT(""&lt;"",GOOGLETRANSLATE(C2933,""en"",""ar""))"),"&lt;ازدراء")</f>
        <v>&lt;ازدراء</v>
      </c>
    </row>
    <row r="2935" ht="15.75" customHeight="1">
      <c r="A2935" s="1" t="s">
        <v>3490</v>
      </c>
      <c r="B2935" s="2" t="s">
        <v>3491</v>
      </c>
      <c r="C2935" s="2"/>
    </row>
    <row r="2936" ht="15.75" customHeight="1">
      <c r="A2936" s="2"/>
      <c r="B2936" s="2" t="s">
        <v>3492</v>
      </c>
      <c r="C2936" s="2" t="s">
        <v>3493</v>
      </c>
    </row>
    <row r="2937" ht="15.75" customHeight="1">
      <c r="A2937" s="2" t="s">
        <v>4</v>
      </c>
      <c r="B2937" s="2" t="str">
        <f>IFERROR(__xludf.DUMMYFUNCTION("CONCAT(""&lt;"",GOOGLETRANSLATE(B2936,""en"",""ar""))"),"&lt;بوز")</f>
        <v>&lt;بوز</v>
      </c>
      <c r="C2937" s="2" t="str">
        <f>IFERROR(__xludf.DUMMYFUNCTION("CONCAT(""&lt;"",GOOGLETRANSLATE(C2936,""en"",""ar""))"),"&lt;(1) ازدراء. (2A) Buz ؛ ابن نهر (2 ب) بوز ؛ رجل؛ قبيلة جاد")</f>
        <v>&lt;(1) ازدراء. (2A) Buz ؛ ابن نهر (2 ب) بوز ؛ رجل؛ قبيلة جاد</v>
      </c>
    </row>
    <row r="2938" ht="15.75" customHeight="1">
      <c r="A2938" s="1" t="s">
        <v>3494</v>
      </c>
      <c r="B2938" s="2" t="s">
        <v>3495</v>
      </c>
      <c r="C2938" s="2"/>
    </row>
    <row r="2939" ht="15.75" customHeight="1">
      <c r="A2939" s="2"/>
      <c r="B2939" s="2" t="s">
        <v>3489</v>
      </c>
    </row>
    <row r="2940" ht="15.75" customHeight="1">
      <c r="A2940" s="2" t="s">
        <v>4</v>
      </c>
      <c r="B2940" s="2" t="str">
        <f>IFERROR(__xludf.DUMMYFUNCTION("CONCAT(""&lt;"",GOOGLETRANSLATE(B2939,""en"",""ar""))"),"&lt;ازدراء")</f>
        <v>&lt;ازدراء</v>
      </c>
      <c r="C2940" s="2"/>
    </row>
    <row r="2941" ht="15.75" customHeight="1">
      <c r="A2941" s="1" t="s">
        <v>3496</v>
      </c>
      <c r="B2941" s="2" t="s">
        <v>3497</v>
      </c>
      <c r="C2941" s="2"/>
    </row>
    <row r="2942" ht="15.75" customHeight="1">
      <c r="A2942" s="2"/>
      <c r="B2942" s="2" t="s">
        <v>3498</v>
      </c>
      <c r="C2942" s="2" t="s">
        <v>3499</v>
      </c>
    </row>
    <row r="2943" ht="15.75" customHeight="1">
      <c r="A2943" s="2" t="s">
        <v>4</v>
      </c>
      <c r="B2943" s="2" t="str">
        <f>IFERROR(__xludf.DUMMYFUNCTION("CONCAT(""&lt;"",GOOGLETRANSLATE(B2942,""en"",""ar""))"),"&lt;بوزيت")</f>
        <v>&lt;بوزيت</v>
      </c>
      <c r="C2943" s="2" t="str">
        <f>IFERROR(__xludf.DUMMYFUNCTION("CONCAT(""&lt;"",GOOGLETRANSLATE(C2942,""en"",""ar""))"),"&lt;(أ) بوزيت ؛ سليل بوز. (ب) بوزيت ؛ والد النبي حزقيال")</f>
        <v>&lt;(أ) بوزيت ؛ سليل بوز. (ب) بوزيت ؛ والد النبي حزقيال</v>
      </c>
    </row>
    <row r="2944" ht="15.75" customHeight="1">
      <c r="A2944" s="1" t="s">
        <v>3500</v>
      </c>
      <c r="B2944" s="2" t="s">
        <v>3501</v>
      </c>
      <c r="C2944" s="2"/>
    </row>
    <row r="2945" ht="15.75" customHeight="1">
      <c r="A2945" s="2"/>
      <c r="B2945" s="2" t="s">
        <v>3502</v>
      </c>
      <c r="C2945" s="2" t="s">
        <v>3499</v>
      </c>
    </row>
    <row r="2946" ht="15.75" customHeight="1">
      <c r="A2946" s="2" t="s">
        <v>4</v>
      </c>
      <c r="B2946" s="2" t="str">
        <f>IFERROR(__xludf.DUMMYFUNCTION("CONCAT(""&lt;"",GOOGLETRANSLATE(B2945,""en"",""ar""))"),"&lt;بوزي")</f>
        <v>&lt;بوزي</v>
      </c>
      <c r="C2946" s="2" t="str">
        <f>IFERROR(__xludf.DUMMYFUNCTION("CONCAT(""&lt;"",GOOGLETRANSLATE(C2945,""en"",""ar""))"),"&lt;(أ) بوزيت ؛ سليل بوز. (ب) بوزيت ؛ والد النبي حزقيال")</f>
        <v>&lt;(أ) بوزيت ؛ سليل بوز. (ب) بوزيت ؛ والد النبي حزقيال</v>
      </c>
    </row>
    <row r="2947" ht="15.75" customHeight="1">
      <c r="A2947" s="1" t="s">
        <v>3503</v>
      </c>
      <c r="B2947" s="2" t="s">
        <v>3504</v>
      </c>
      <c r="C2947" s="2"/>
    </row>
    <row r="2948" ht="15.75" customHeight="1">
      <c r="A2948" s="2"/>
      <c r="B2948" s="2" t="s">
        <v>3505</v>
      </c>
      <c r="C2948" s="2" t="s">
        <v>3506</v>
      </c>
    </row>
    <row r="2949" ht="15.75" customHeight="1">
      <c r="A2949" s="2" t="s">
        <v>4</v>
      </c>
      <c r="B2949" s="2" t="str">
        <f>IFERROR(__xludf.DUMMYFUNCTION("CONCAT(""&lt;"",GOOGLETRANSLATE(B2948,""en"",""ar""))"),"&lt;بافاي")</f>
        <v>&lt;بافاي</v>
      </c>
      <c r="C2949" s="2" t="str">
        <f>IFERROR(__xludf.DUMMYFUNCTION("CONCAT(""&lt;"",GOOGLETRANSLATE(C2948,""en"",""ar""))"),"&lt;بافاي ابن هناداد بعد المنفى")</f>
        <v>&lt;بافاي ابن هناداد بعد المنفى</v>
      </c>
    </row>
    <row r="2950" ht="15.75" customHeight="1">
      <c r="A2950" s="1" t="s">
        <v>3507</v>
      </c>
      <c r="B2950" s="2" t="s">
        <v>3508</v>
      </c>
      <c r="C2950" s="2"/>
    </row>
    <row r="2951" ht="15.75" customHeight="1">
      <c r="A2951" s="2"/>
      <c r="B2951" s="2" t="s">
        <v>3509</v>
      </c>
      <c r="C2951" s="2" t="s">
        <v>3510</v>
      </c>
    </row>
    <row r="2952" ht="15.75" customHeight="1">
      <c r="A2952" s="2" t="s">
        <v>4</v>
      </c>
      <c r="B2952" s="2" t="str">
        <f>IFERROR(__xludf.DUMMYFUNCTION("CONCAT(""&lt;"",GOOGLETRANSLATE(B2951,""en"",""ar""))"),"&lt;إلى الحيرة")</f>
        <v>&lt;إلى الحيرة</v>
      </c>
      <c r="C2952" s="2" t="str">
        <f>IFERROR(__xludf.DUMMYFUNCTION("CONCAT(""&lt;"",GOOGLETRANSLATE(C2951,""en"",""ar""))"),"&lt;نيف. أن تكون في حيرة. للتجول في الارتباك")</f>
        <v>&lt;نيف. أن تكون في حيرة. للتجول في الارتباك</v>
      </c>
    </row>
    <row r="2953" ht="15.75" customHeight="1">
      <c r="A2953" s="1" t="s">
        <v>3511</v>
      </c>
      <c r="B2953" s="2" t="s">
        <v>3512</v>
      </c>
      <c r="C2953" s="2"/>
    </row>
    <row r="2954" ht="15.75" customHeight="1">
      <c r="A2954" s="2"/>
      <c r="B2954" s="2" t="s">
        <v>3513</v>
      </c>
    </row>
    <row r="2955" ht="15.75" customHeight="1">
      <c r="A2955" s="2" t="s">
        <v>4</v>
      </c>
      <c r="B2955" s="2" t="str">
        <f>IFERROR(__xludf.DUMMYFUNCTION("CONCAT(""&lt;"",GOOGLETRANSLATE(B2954,""en"",""ar""))"),"&lt;ينتج")</f>
        <v>&lt;ينتج</v>
      </c>
      <c r="C2955" s="2"/>
    </row>
    <row r="2956" ht="15.75" customHeight="1">
      <c r="A2956" s="1" t="s">
        <v>3514</v>
      </c>
      <c r="B2956" s="2" t="s">
        <v>3515</v>
      </c>
      <c r="C2956" s="2"/>
    </row>
    <row r="2957" ht="15.75" customHeight="1">
      <c r="A2957" s="2"/>
      <c r="B2957" s="2" t="s">
        <v>3516</v>
      </c>
      <c r="C2957" s="2" t="s">
        <v>3517</v>
      </c>
    </row>
    <row r="2958" ht="15.75" customHeight="1">
      <c r="A2958" s="2" t="s">
        <v>4</v>
      </c>
      <c r="B2958" s="2" t="str">
        <f>IFERROR(__xludf.DUMMYFUNCTION("CONCAT(""&lt;"",GOOGLETRANSLATE(B2957,""en"",""ar""))"),"&lt;بول")</f>
        <v>&lt;بول</v>
      </c>
      <c r="C2958" s="2" t="str">
        <f>IFERROR(__xludf.DUMMYFUNCTION("CONCAT(""&lt;"",GOOGLETRANSLATE(C2957,""en"",""ar""))"),"&lt;(أ) الخشب الجاف. (ب) اسم الشهر ؛ ما قبل الاستفادة ؛ أكتوبر/نوفمبر")</f>
        <v>&lt;(أ) الخشب الجاف. (ب) اسم الشهر ؛ ما قبل الاستفادة ؛ أكتوبر/نوفمبر</v>
      </c>
    </row>
    <row r="2959" ht="15.75" customHeight="1">
      <c r="A2959" s="1" t="s">
        <v>3518</v>
      </c>
      <c r="B2959" s="2" t="s">
        <v>3519</v>
      </c>
      <c r="C2959" s="2"/>
    </row>
    <row r="2960" ht="15.75" customHeight="1">
      <c r="A2960" s="2"/>
      <c r="B2960" s="2" t="s">
        <v>3520</v>
      </c>
      <c r="C2960" s="2" t="s">
        <v>3521</v>
      </c>
    </row>
    <row r="2961" ht="15.75" customHeight="1">
      <c r="A2961" s="2" t="s">
        <v>4</v>
      </c>
      <c r="B2961" s="2" t="str">
        <f>IFERROR(__xludf.DUMMYFUNCTION("CONCAT(""&lt;"",GOOGLETRANSLATE(B2960,""en"",""ar""))"),"&lt;براون")</f>
        <v>&lt;براون</v>
      </c>
      <c r="C2961" s="2" t="str">
        <f>IFERROR(__xludf.DUMMYFUNCTION("CONCAT(""&lt;"",GOOGLETRANSLATE(C2960,""en"",""ar""))"),"&lt;براون ابن جيراهميل قبيلة يهوذا")</f>
        <v>&lt;براون ابن جيراهميل قبيلة يهوذا</v>
      </c>
    </row>
    <row r="2962" ht="15.75" customHeight="1">
      <c r="A2962" s="1" t="s">
        <v>3522</v>
      </c>
      <c r="B2962" s="2" t="s">
        <v>3523</v>
      </c>
      <c r="C2962" s="2"/>
    </row>
    <row r="2963" ht="15.75" customHeight="1">
      <c r="A2963" s="2"/>
      <c r="B2963" s="2" t="s">
        <v>3524</v>
      </c>
      <c r="C2963" s="2" t="s">
        <v>3525</v>
      </c>
    </row>
    <row r="2964" ht="15.75" customHeight="1">
      <c r="A2964" s="2" t="s">
        <v>4</v>
      </c>
      <c r="B2964" s="2" t="str">
        <f>IFERROR(__xludf.DUMMYFUNCTION("CONCAT(""&lt;"",GOOGLETRANSLATE(B2963,""en"",""ar""))"),"&lt;لدوس")</f>
        <v>&lt;لدوس</v>
      </c>
      <c r="C2964" s="2" t="str">
        <f>IFERROR(__xludf.DUMMYFUNCTION("CONCAT(""&lt;"",GOOGLETRANSLATE(C2963,""en"",""ar""))"),"&lt;(أ) QAL للتخلي. (ب) بي. للقراءة لأسفل ، لتدنيس ؛ (ج) HITP. لتململ ، للركل ؛ (د) هوف. ليتم دحضها")</f>
        <v>&lt;(أ) QAL للتخلي. (ب) بي. للقراءة لأسفل ، لتدنيس ؛ (ج) HITP. لتململ ، للركل ؛ (د) هوف. ليتم دحضها</v>
      </c>
    </row>
    <row r="2965" ht="15.75" customHeight="1">
      <c r="A2965" s="1" t="s">
        <v>3526</v>
      </c>
      <c r="B2965" s="2" t="s">
        <v>3527</v>
      </c>
      <c r="C2965" s="2"/>
    </row>
    <row r="2966" ht="15.75" customHeight="1">
      <c r="A2966" s="2"/>
      <c r="B2966" s="2" t="s">
        <v>1262</v>
      </c>
      <c r="C2966" s="2" t="s">
        <v>3528</v>
      </c>
    </row>
    <row r="2967" ht="15.75" customHeight="1">
      <c r="A2967" s="2" t="s">
        <v>4</v>
      </c>
      <c r="B2967" s="2" t="str">
        <f>IFERROR(__xludf.DUMMYFUNCTION("CONCAT(""&lt;"",GOOGLETRANSLATE(B2966,""en"",""ar""))"),"&lt;كوفية من الكتان")</f>
        <v>&lt;كوفية من الكتان</v>
      </c>
      <c r="C2967" s="2" t="str">
        <f>IFERROR(__xludf.DUMMYFUNCTION("CONCAT(""&lt;"",GOOGLETRANSLATE(C2966,""en"",""ar""))"),"&lt;Byssus")</f>
        <v>&lt;Byssus</v>
      </c>
    </row>
    <row r="2968" ht="15.75" customHeight="1">
      <c r="A2968" s="1" t="s">
        <v>3529</v>
      </c>
      <c r="B2968" s="2" t="s">
        <v>3530</v>
      </c>
      <c r="C2968" s="2"/>
    </row>
    <row r="2969" ht="15.75" customHeight="1">
      <c r="A2969" s="2"/>
      <c r="B2969" s="2" t="s">
        <v>3531</v>
      </c>
      <c r="C2969" s="2" t="s">
        <v>3532</v>
      </c>
    </row>
    <row r="2970" ht="15.75" customHeight="1">
      <c r="A2970" s="2" t="s">
        <v>4</v>
      </c>
      <c r="B2970" s="2" t="str">
        <f>IFERROR(__xludf.DUMMYFUNCTION("CONCAT(""&lt;"",GOOGLETRANSLATE(B2969,""en"",""ar""))"),"&lt;بوزيز")</f>
        <v>&lt;بوزيز</v>
      </c>
      <c r="C2970" s="2" t="str">
        <f>IFERROR(__xludf.DUMMYFUNCTION("CONCAT(""&lt;"",GOOGLETRANSLATE(C2969,""en"",""ar""))"),"&lt;بوزيز الصخور الصخرية")</f>
        <v>&lt;بوزيز الصخور الصخرية</v>
      </c>
    </row>
    <row r="2971" ht="15.75" customHeight="1">
      <c r="A2971" s="1" t="s">
        <v>3533</v>
      </c>
      <c r="B2971" s="2" t="s">
        <v>3534</v>
      </c>
      <c r="C2971" s="2"/>
    </row>
    <row r="2972" ht="15.75" customHeight="1">
      <c r="A2972" s="2"/>
      <c r="B2972" s="2" t="s">
        <v>3535</v>
      </c>
      <c r="C2972" s="2" t="s">
        <v>3433</v>
      </c>
    </row>
    <row r="2973" ht="15.75" customHeight="1">
      <c r="A2973" s="2" t="s">
        <v>4</v>
      </c>
      <c r="B2973" s="2" t="str">
        <f>IFERROR(__xludf.DUMMYFUNCTION("CONCAT(""&lt;"",GOOGLETRANSLATE(B2972,""en"",""ar""))"),"&lt;الفراغ")</f>
        <v>&lt;الفراغ</v>
      </c>
      <c r="C2973" s="2" t="str">
        <f>IFERROR(__xludf.DUMMYFUNCTION("CONCAT(""&lt;"",GOOGLETRANSLATE(C2972,""en"",""ar""))"),"&lt;الفراغ ، القفرة")</f>
        <v>&lt;الفراغ ، القفرة</v>
      </c>
    </row>
    <row r="2974" ht="15.75" customHeight="1">
      <c r="A2974" s="1" t="s">
        <v>3536</v>
      </c>
      <c r="B2974" s="2" t="s">
        <v>3537</v>
      </c>
      <c r="C2974" s="2"/>
    </row>
    <row r="2975" ht="15.75" customHeight="1">
      <c r="A2975" s="2"/>
      <c r="B2975" s="2" t="s">
        <v>3538</v>
      </c>
      <c r="C2975" s="2" t="s">
        <v>3538</v>
      </c>
    </row>
    <row r="2976" ht="15.75" customHeight="1">
      <c r="A2976" s="2" t="s">
        <v>4</v>
      </c>
      <c r="B2976" s="2" t="str">
        <f>IFERROR(__xludf.DUMMYFUNCTION("CONCAT(""&lt;"",GOOGLETRANSLATE(B2975,""en"",""ar""))"),"&lt;هيردسمان")</f>
        <v>&lt;هيردسمان</v>
      </c>
      <c r="C2976" s="2" t="str">
        <f>IFERROR(__xludf.DUMMYFUNCTION("CONCAT(""&lt;"",GOOGLETRANSLATE(C2975,""en"",""ar""))"),"&lt;هيردسمان")</f>
        <v>&lt;هيردسمان</v>
      </c>
    </row>
    <row r="2977" ht="15.75" customHeight="1">
      <c r="A2977" s="1" t="s">
        <v>3539</v>
      </c>
      <c r="B2977" s="2" t="s">
        <v>3540</v>
      </c>
      <c r="C2977" s="2"/>
    </row>
    <row r="2978" ht="15.75" customHeight="1">
      <c r="A2978" s="2"/>
      <c r="B2978" s="2" t="s">
        <v>3541</v>
      </c>
    </row>
    <row r="2979" ht="15.75" customHeight="1">
      <c r="A2979" s="2" t="s">
        <v>4</v>
      </c>
      <c r="B2979" s="2" t="str">
        <f>IFERROR(__xludf.DUMMYFUNCTION("CONCAT(""&lt;"",GOOGLETRANSLATE(B2978,""en"",""ar""))"),"&lt;لشرح")</f>
        <v>&lt;لشرح</v>
      </c>
      <c r="C2979" s="2"/>
    </row>
    <row r="2980" ht="15.75" customHeight="1">
      <c r="A2980" s="1" t="s">
        <v>3542</v>
      </c>
      <c r="B2980" s="2" t="s">
        <v>3543</v>
      </c>
      <c r="C2980" s="2"/>
    </row>
    <row r="2981" ht="15.75" customHeight="1">
      <c r="A2981" s="2"/>
      <c r="B2981" s="2" t="s">
        <v>3544</v>
      </c>
      <c r="C2981" s="2" t="s">
        <v>3545</v>
      </c>
    </row>
    <row r="2982" ht="15.75" customHeight="1">
      <c r="A2982" s="2" t="s">
        <v>4</v>
      </c>
      <c r="B2982" s="2" t="str">
        <f>IFERROR(__xludf.DUMMYFUNCTION("CONCAT(""&lt;"",GOOGLETRANSLATE(B2981,""en"",""ar""))"),"&lt;حفرة")</f>
        <v>&lt;حفرة</v>
      </c>
      <c r="C2982" s="2" t="str">
        <f>IFERROR(__xludf.DUMMYFUNCTION("CONCAT(""&lt;"",GOOGLETRANSLATE(C2981,""en"",""ar""))"),"&lt;(أ) حفرة ، صهريج ؛ (ب) قبر ، موقع الموتى")</f>
        <v>&lt;(أ) حفرة ، صهريج ؛ (ب) قبر ، موقع الموتى</v>
      </c>
    </row>
    <row r="2983" ht="15.75" customHeight="1">
      <c r="A2983" s="1" t="s">
        <v>3546</v>
      </c>
      <c r="B2983" s="2" t="s">
        <v>3547</v>
      </c>
      <c r="C2983" s="2"/>
    </row>
    <row r="2984" ht="15.75" customHeight="1">
      <c r="A2984" s="2"/>
      <c r="B2984" s="2" t="s">
        <v>3252</v>
      </c>
    </row>
    <row r="2985" ht="15.75" customHeight="1">
      <c r="A2985" s="2" t="s">
        <v>4</v>
      </c>
      <c r="B2985" s="2" t="str">
        <f>IFERROR(__xludf.DUMMYFUNCTION("CONCAT(""&lt;"",GOOGLETRANSLATE(B2984,""en"",""ar""))"),"&lt;حسنًا")</f>
        <v>&lt;حسنًا</v>
      </c>
      <c r="C2985" s="2"/>
    </row>
    <row r="2986" ht="15.75" customHeight="1">
      <c r="A2986" s="1" t="s">
        <v>3548</v>
      </c>
      <c r="B2986" s="2" t="s">
        <v>3549</v>
      </c>
      <c r="C2986" s="2"/>
    </row>
    <row r="2987" ht="15.75" customHeight="1">
      <c r="A2987" s="2"/>
      <c r="B2987" s="2" t="s">
        <v>3550</v>
      </c>
      <c r="C2987" s="2" t="s">
        <v>3551</v>
      </c>
    </row>
    <row r="2988" ht="15.75" customHeight="1">
      <c r="A2988" s="2" t="s">
        <v>4</v>
      </c>
      <c r="B2988" s="2" t="str">
        <f>IFERROR(__xludf.DUMMYFUNCTION("CONCAT(""&lt;"",GOOGLETRANSLATE(B2987,""en"",""ar""))"),"&lt;عيب عليك")</f>
        <v>&lt;عيب عليك</v>
      </c>
      <c r="C2988" s="2" t="str">
        <f>IFERROR(__xludf.DUMMYFUNCTION("CONCAT(""&lt;"",GOOGLETRANSLATE(C2987,""en"",""ar""))"),"&lt;(1A) QAL أن تخجل ؛ (1 ب) HITP. لتبدو خجل. (1C) HIF. أن تخجل. لوضع العار ، أن تتصرف بشكل مخزي. (2) بيلل للتأخير")</f>
        <v>&lt;(1A) QAL أن تخجل ؛ (1 ب) HITP. لتبدو خجل. (1C) HIF. أن تخجل. لوضع العار ، أن تتصرف بشكل مخزي. (2) بيلل للتأخير</v>
      </c>
    </row>
    <row r="2989" ht="15.75" customHeight="1">
      <c r="A2989" s="1" t="s">
        <v>3552</v>
      </c>
      <c r="B2989" s="2" t="s">
        <v>3553</v>
      </c>
      <c r="C2989" s="2"/>
    </row>
    <row r="2990" ht="15.75" customHeight="1">
      <c r="A2990" s="2"/>
      <c r="B2990" s="2" t="s">
        <v>3554</v>
      </c>
      <c r="C2990" s="2" t="s">
        <v>3554</v>
      </c>
    </row>
    <row r="2991" ht="15.75" customHeight="1">
      <c r="A2991" s="2" t="s">
        <v>4</v>
      </c>
      <c r="B2991" s="2" t="str">
        <f>IFERROR(__xludf.DUMMYFUNCTION("CONCAT(""&lt;"",GOOGLETRANSLATE(B2990,""en"",""ar""))"),"&lt;عار")</f>
        <v>&lt;عار</v>
      </c>
      <c r="C2991" s="2" t="str">
        <f>IFERROR(__xludf.DUMMYFUNCTION("CONCAT(""&lt;"",GOOGLETRANSLATE(C2990,""en"",""ar""))"),"&lt;عار")</f>
        <v>&lt;عار</v>
      </c>
    </row>
    <row r="2992" ht="15.75" customHeight="1">
      <c r="A2992" s="1" t="s">
        <v>3555</v>
      </c>
      <c r="B2992" s="2" t="s">
        <v>3556</v>
      </c>
      <c r="C2992" s="2"/>
    </row>
    <row r="2993" ht="15.75" customHeight="1">
      <c r="A2993" s="2"/>
      <c r="B2993" s="2" t="s">
        <v>3557</v>
      </c>
    </row>
    <row r="2994" ht="15.75" customHeight="1">
      <c r="A2994" s="2" t="s">
        <v>4</v>
      </c>
      <c r="B2994" s="2" t="str">
        <f>IFERROR(__xludf.DUMMYFUNCTION("CONCAT(""&lt;"",GOOGLETRANSLATE(B2993,""en"",""ar""))"),"&lt;لتمرير الليل")</f>
        <v>&lt;لتمرير الليل</v>
      </c>
      <c r="C2994" s="2"/>
    </row>
    <row r="2995" ht="15.75" customHeight="1">
      <c r="A2995" s="1" t="s">
        <v>3558</v>
      </c>
      <c r="B2995" s="2" t="s">
        <v>3559</v>
      </c>
      <c r="C2995" s="2"/>
    </row>
    <row r="2996" ht="15.75" customHeight="1">
      <c r="A2996" s="2"/>
      <c r="B2996" s="2" t="s">
        <v>3560</v>
      </c>
      <c r="C2996" s="2" t="s">
        <v>3561</v>
      </c>
    </row>
    <row r="2997" ht="15.75" customHeight="1">
      <c r="A2997" s="2" t="s">
        <v>4</v>
      </c>
      <c r="B2997" s="2" t="str">
        <f>IFERROR(__xludf.DUMMYFUNCTION("CONCAT(""&lt;"",GOOGLETRANSLATE(B2996,""en"",""ar""))"),"&lt;نهب")</f>
        <v>&lt;نهب</v>
      </c>
      <c r="C2997" s="2" t="str">
        <f>IFERROR(__xludf.DUMMYFUNCTION("CONCAT(""&lt;"",GOOGLETRANSLATE(C2996,""en"",""ar""))"),"&lt;إفساد ، غش")</f>
        <v>&lt;إفساد ، غش</v>
      </c>
    </row>
    <row r="2998" ht="15.75" customHeight="1">
      <c r="A2998" s="1" t="s">
        <v>3562</v>
      </c>
      <c r="B2998" s="2" t="s">
        <v>3563</v>
      </c>
      <c r="C2998" s="2"/>
    </row>
    <row r="2999" ht="15.75" customHeight="1">
      <c r="A2999" s="2"/>
      <c r="B2999" s="2" t="s">
        <v>3564</v>
      </c>
      <c r="C2999" s="2" t="s">
        <v>3565</v>
      </c>
    </row>
    <row r="3000" ht="15.75" customHeight="1">
      <c r="A3000" s="2" t="s">
        <v>4</v>
      </c>
      <c r="B3000" s="2" t="str">
        <f>IFERROR(__xludf.DUMMYFUNCTION("CONCAT(""&lt;"",GOOGLETRANSLATE(B2999,""en"",""ar""))"),"&lt;لتقسيم")</f>
        <v>&lt;لتقسيم</v>
      </c>
      <c r="C3000" s="2" t="str">
        <f>IFERROR(__xludf.DUMMYFUNCTION("CONCAT(""&lt;"",GOOGLETRANSLATE(C2999,""en"",""ar""))"),"&lt;QAL لتغسل")</f>
        <v>&lt;QAL لتغسل</v>
      </c>
    </row>
    <row r="3001" ht="15.75" customHeight="1">
      <c r="A3001" s="1" t="s">
        <v>3566</v>
      </c>
      <c r="B3001" s="2" t="s">
        <v>3567</v>
      </c>
      <c r="C3001" s="2"/>
    </row>
    <row r="3002" ht="15.75" customHeight="1">
      <c r="A3002" s="2"/>
      <c r="B3002" s="2" t="s">
        <v>3485</v>
      </c>
      <c r="C3002" s="2" t="s">
        <v>3568</v>
      </c>
    </row>
    <row r="3003" ht="15.75" customHeight="1">
      <c r="A3003" s="2" t="s">
        <v>4</v>
      </c>
      <c r="B3003" s="2" t="str">
        <f>IFERROR(__xludf.DUMMYFUNCTION("CONCAT(""&lt;"",GOOGLETRANSLATE(B3002,""en"",""ar""))"),"&lt;تحتقر")</f>
        <v>&lt;تحتقر</v>
      </c>
      <c r="C3003" s="2" t="str">
        <f>IFERROR(__xludf.DUMMYFUNCTION("CONCAT(""&lt;"",GOOGLETRANSLATE(C3002,""en"",""ar""))"),"&lt;QAL إلى احتقار \ nif. (سلبي) ؛ HIF. (السببية)")</f>
        <v>&lt;QAL إلى احتقار \ nif. (سلبي) ؛ HIF. (السببية)</v>
      </c>
    </row>
    <row r="3004" ht="15.75" customHeight="1">
      <c r="A3004" s="1" t="s">
        <v>3569</v>
      </c>
      <c r="B3004" s="2" t="s">
        <v>3570</v>
      </c>
      <c r="C3004" s="2"/>
    </row>
    <row r="3005" ht="15.75" customHeight="1">
      <c r="A3005" s="2"/>
      <c r="B3005" s="2" t="s">
        <v>3485</v>
      </c>
      <c r="C3005" s="2" t="s">
        <v>3568</v>
      </c>
    </row>
    <row r="3006" ht="15.75" customHeight="1">
      <c r="A3006" s="2" t="s">
        <v>4</v>
      </c>
      <c r="B3006" s="2" t="str">
        <f>IFERROR(__xludf.DUMMYFUNCTION("CONCAT(""&lt;"",GOOGLETRANSLATE(B3005,""en"",""ar""))"),"&lt;تحتقر")</f>
        <v>&lt;تحتقر</v>
      </c>
      <c r="C3006" s="2" t="str">
        <f>IFERROR(__xludf.DUMMYFUNCTION("CONCAT(""&lt;"",GOOGLETRANSLATE(C3005,""en"",""ar""))"),"&lt;QAL إلى احتقار \ nif. (سلبي) ؛ HIF. (السببية)")</f>
        <v>&lt;QAL إلى احتقار \ nif. (سلبي) ؛ HIF. (السببية)</v>
      </c>
    </row>
    <row r="3007" ht="15.75" customHeight="1">
      <c r="A3007" s="1" t="s">
        <v>3571</v>
      </c>
      <c r="B3007" s="2" t="s">
        <v>3333</v>
      </c>
      <c r="C3007" s="2"/>
    </row>
    <row r="3008" ht="15.75" customHeight="1">
      <c r="A3008" s="2"/>
      <c r="B3008" s="2" t="s">
        <v>3560</v>
      </c>
      <c r="C3008" s="2" t="s">
        <v>3572</v>
      </c>
    </row>
    <row r="3009" ht="15.75" customHeight="1">
      <c r="A3009" s="2" t="s">
        <v>4</v>
      </c>
      <c r="B3009" s="2" t="str">
        <f>IFERROR(__xludf.DUMMYFUNCTION("CONCAT(""&lt;"",GOOGLETRANSLATE(B3008,""en"",""ar""))"),"&lt;نهب")</f>
        <v>&lt;نهب</v>
      </c>
      <c r="C3009" s="2" t="str">
        <f>IFERROR(__xludf.DUMMYFUNCTION("CONCAT(""&lt;"",GOOGLETRANSLATE(C3008,""en"",""ar""))"),"&lt;غنيمة ، غنيمة")</f>
        <v>&lt;غنيمة ، غنيمة</v>
      </c>
    </row>
    <row r="3010" ht="15.75" customHeight="1">
      <c r="A3010" s="1" t="s">
        <v>3573</v>
      </c>
      <c r="B3010" s="2" t="s">
        <v>3574</v>
      </c>
      <c r="C3010" s="2"/>
    </row>
    <row r="3011" ht="15.75" customHeight="1">
      <c r="A3011" s="2"/>
      <c r="B3011" s="2" t="s">
        <v>3575</v>
      </c>
      <c r="C3011" s="2" t="s">
        <v>3576</v>
      </c>
    </row>
    <row r="3012" ht="15.75" customHeight="1">
      <c r="A3012" s="2" t="s">
        <v>4</v>
      </c>
      <c r="B3012" s="2" t="str">
        <f>IFERROR(__xludf.DUMMYFUNCTION("CONCAT(""&lt;"",GOOGLETRANSLATE(B3011,""en"",""ar""))"),"&lt;لنهب")</f>
        <v>&lt;لنهب</v>
      </c>
      <c r="C3012" s="2" t="str">
        <f>IFERROR(__xludf.DUMMYFUNCTION("CONCAT(""&lt;"",GOOGLETRANSLATE(C3011,""en"",""ar""))"),"&lt;QAL لإفساد ، لأخذ غنيمة \ nif. (سلبي) ؛ بو. (سلبي)")</f>
        <v>&lt;QAL لإفساد ، لأخذ غنيمة \ nif. (سلبي) ؛ بو. (سلبي)</v>
      </c>
    </row>
    <row r="3013" ht="15.75" customHeight="1">
      <c r="A3013" s="1" t="s">
        <v>3577</v>
      </c>
      <c r="B3013" s="2" t="s">
        <v>3495</v>
      </c>
      <c r="C3013" s="2"/>
    </row>
    <row r="3014" ht="15.75" customHeight="1">
      <c r="A3014" s="2"/>
      <c r="B3014" s="2" t="s">
        <v>3489</v>
      </c>
      <c r="C3014" s="2" t="s">
        <v>3489</v>
      </c>
    </row>
    <row r="3015" ht="15.75" customHeight="1">
      <c r="A3015" s="2" t="s">
        <v>4</v>
      </c>
      <c r="B3015" s="2" t="str">
        <f>IFERROR(__xludf.DUMMYFUNCTION("CONCAT(""&lt;"",GOOGLETRANSLATE(B3014,""en"",""ar""))"),"&lt;ازدراء")</f>
        <v>&lt;ازدراء</v>
      </c>
      <c r="C3015" s="2" t="str">
        <f>IFERROR(__xludf.DUMMYFUNCTION("CONCAT(""&lt;"",GOOGLETRANSLATE(C3014,""en"",""ar""))"),"&lt;ازدراء")</f>
        <v>&lt;ازدراء</v>
      </c>
    </row>
    <row r="3016" ht="15.75" customHeight="1">
      <c r="A3016" s="1" t="s">
        <v>3578</v>
      </c>
      <c r="B3016" s="2" t="s">
        <v>3579</v>
      </c>
      <c r="C3016" s="2"/>
    </row>
    <row r="3017" ht="15.75" customHeight="1">
      <c r="A3017" s="2"/>
      <c r="B3017" s="2" t="s">
        <v>3580</v>
      </c>
      <c r="C3017" s="2" t="s">
        <v>3581</v>
      </c>
    </row>
    <row r="3018" ht="15.75" customHeight="1">
      <c r="A3018" s="2" t="s">
        <v>4</v>
      </c>
      <c r="B3018" s="2" t="str">
        <f>IFERROR(__xludf.DUMMYFUNCTION("CONCAT(""&lt;"",GOOGLETRANSLATE(B3017,""en"",""ar""))"),"&lt;Biziothiah")</f>
        <v>&lt;Biziothiah</v>
      </c>
      <c r="C3018" s="2" t="str">
        <f>IFERROR(__xludf.DUMMYFUNCTION("CONCAT(""&lt;"",GOOGLETRANSLATE(C3017,""en"",""ar""))"),"&lt;بيزيوثيا بلدة؛ أراضي يهوذا (الجنوب)")</f>
        <v>&lt;بيزيوثيا بلدة؛ أراضي يهوذا (الجنوب)</v>
      </c>
    </row>
    <row r="3019" ht="15.75" customHeight="1">
      <c r="A3019" s="1" t="s">
        <v>3582</v>
      </c>
      <c r="B3019" s="2" t="s">
        <v>3583</v>
      </c>
      <c r="C3019" s="2"/>
    </row>
    <row r="3020" ht="15.75" customHeight="1">
      <c r="A3020" s="2"/>
      <c r="B3020" s="2" t="s">
        <v>3584</v>
      </c>
      <c r="C3020" s="2" t="s">
        <v>3584</v>
      </c>
    </row>
    <row r="3021" ht="15.75" customHeight="1">
      <c r="A3021" s="2" t="s">
        <v>4</v>
      </c>
      <c r="B3021" s="2" t="str">
        <f>IFERROR(__xludf.DUMMYFUNCTION("CONCAT(""&lt;"",GOOGLETRANSLATE(B3020,""en"",""ar""))"),"&lt;برق")</f>
        <v>&lt;برق</v>
      </c>
      <c r="C3021" s="2" t="str">
        <f>IFERROR(__xludf.DUMMYFUNCTION("CONCAT(""&lt;"",GOOGLETRANSLATE(C3020,""en"",""ar""))"),"&lt;برق")</f>
        <v>&lt;برق</v>
      </c>
    </row>
    <row r="3022" ht="15.75" customHeight="1">
      <c r="A3022" s="1" t="s">
        <v>3585</v>
      </c>
      <c r="B3022" s="2" t="s">
        <v>3586</v>
      </c>
      <c r="C3022" s="2"/>
    </row>
    <row r="3023" ht="15.75" customHeight="1">
      <c r="A3023" s="2"/>
      <c r="B3023" s="2" t="s">
        <v>3587</v>
      </c>
      <c r="C3023" s="2" t="s">
        <v>3588</v>
      </c>
    </row>
    <row r="3024" ht="15.75" customHeight="1">
      <c r="A3024" s="2" t="s">
        <v>4</v>
      </c>
      <c r="B3024" s="2" t="str">
        <f>IFERROR(__xludf.DUMMYFUNCTION("CONCAT(""&lt;"",GOOGLETRANSLATE(B3023,""en"",""ar""))"),"&lt;بيزيك")</f>
        <v>&lt;بيزيك</v>
      </c>
      <c r="C3024" s="2" t="str">
        <f>IFERROR(__xludf.DUMMYFUNCTION("CONCAT(""&lt;"",GOOGLETRANSLATE(C3023,""en"",""ar""))"),"&lt;بيزيك بلدة؛ أراضي ماناسه")</f>
        <v>&lt;بيزيك بلدة؛ أراضي ماناسه</v>
      </c>
    </row>
    <row r="3025" ht="15.75" customHeight="1">
      <c r="A3025" s="1" t="s">
        <v>3589</v>
      </c>
      <c r="B3025" s="2" t="s">
        <v>3590</v>
      </c>
      <c r="C3025" s="2"/>
    </row>
    <row r="3026" ht="15.75" customHeight="1">
      <c r="A3026" s="2"/>
      <c r="B3026" s="2" t="s">
        <v>3429</v>
      </c>
      <c r="C3026" s="2" t="s">
        <v>3591</v>
      </c>
    </row>
    <row r="3027" ht="15.75" customHeight="1">
      <c r="A3027" s="2" t="s">
        <v>4</v>
      </c>
      <c r="B3027" s="2" t="str">
        <f>IFERROR(__xludf.DUMMYFUNCTION("CONCAT(""&lt;"",GOOGLETRANSLATE(B3026,""en"",""ar""))"),"&lt;للانتثار")</f>
        <v>&lt;للانتثار</v>
      </c>
      <c r="C3027" s="2" t="str">
        <f>IFERROR(__xludf.DUMMYFUNCTION("CONCAT(""&lt;"",GOOGLETRANSLATE(C3026,""en"",""ar""))"),"&lt;(أ) QAL للانتثار ؛ (ب) بي. للانتثار")</f>
        <v>&lt;(أ) QAL للانتثار ؛ (ب) بي. للانتثار</v>
      </c>
    </row>
    <row r="3028" ht="15.75" customHeight="1">
      <c r="A3028" s="1" t="s">
        <v>3592</v>
      </c>
      <c r="B3028" s="2" t="s">
        <v>3593</v>
      </c>
      <c r="C3028" s="2"/>
    </row>
    <row r="3029" ht="15.75" customHeight="1">
      <c r="A3029" s="2"/>
      <c r="B3029" s="2" t="s">
        <v>3594</v>
      </c>
      <c r="C3029" s="2" t="s">
        <v>3595</v>
      </c>
    </row>
    <row r="3030" ht="15.75" customHeight="1">
      <c r="A3030" s="2" t="s">
        <v>4</v>
      </c>
      <c r="B3030" s="2" t="str">
        <f>IFERROR(__xludf.DUMMYFUNCTION("CONCAT(""&lt;"",GOOGLETRANSLATE(B3029,""en"",""ar""))"),"&lt;بيزثا")</f>
        <v>&lt;بيزثا</v>
      </c>
      <c r="C3030" s="2" t="str">
        <f>IFERROR(__xludf.DUMMYFUNCTION("CONCAT(""&lt;"",GOOGLETRANSLATE(C3029,""en"",""ar""))"),"&lt;بيزثا الخصي خادم الملك أهاسويروس (زيركسيس)")</f>
        <v>&lt;بيزثا الخصي خادم الملك أهاسويروس (زيركسيس)</v>
      </c>
    </row>
    <row r="3031" ht="15.75" customHeight="1">
      <c r="A3031" s="1" t="s">
        <v>3596</v>
      </c>
      <c r="B3031" s="2" t="s">
        <v>3597</v>
      </c>
      <c r="C3031" s="2"/>
    </row>
    <row r="3032" ht="15.75" customHeight="1">
      <c r="A3032" s="2"/>
      <c r="B3032" s="2" t="s">
        <v>3598</v>
      </c>
      <c r="C3032" s="2" t="s">
        <v>3599</v>
      </c>
    </row>
    <row r="3033" ht="15.75" customHeight="1">
      <c r="A3033" s="2" t="s">
        <v>4</v>
      </c>
      <c r="B3033" s="2" t="str">
        <f>IFERROR(__xludf.DUMMYFUNCTION("CONCAT(""&lt;"",GOOGLETRANSLATE(B3032,""en"",""ar""))"),"&lt;مقايسة")</f>
        <v>&lt;مقايسة</v>
      </c>
      <c r="C3033" s="2" t="str">
        <f>IFERROR(__xludf.DUMMYFUNCTION("CONCAT(""&lt;"",GOOGLETRANSLATE(C3032,""en"",""ar""))"),"&lt;برج الحصار \ tester")</f>
        <v>&lt;برج الحصار \ tester</v>
      </c>
    </row>
    <row r="3034" ht="15.75" customHeight="1">
      <c r="A3034" s="1" t="s">
        <v>3600</v>
      </c>
      <c r="B3034" s="2" t="s">
        <v>3601</v>
      </c>
      <c r="C3034" s="2"/>
    </row>
    <row r="3035" ht="15.75" customHeight="1">
      <c r="A3035" s="2"/>
      <c r="B3035" s="2" t="s">
        <v>3602</v>
      </c>
      <c r="C3035" s="2" t="s">
        <v>3603</v>
      </c>
    </row>
    <row r="3036" ht="15.75" customHeight="1">
      <c r="A3036" s="2" t="s">
        <v>4</v>
      </c>
      <c r="B3036" s="2" t="str">
        <f>IFERROR(__xludf.DUMMYFUNCTION("CONCAT(""&lt;"",GOOGLETRANSLATE(B3035,""en"",""ar""))"),"&lt;شباب")</f>
        <v>&lt;شباب</v>
      </c>
      <c r="C3036" s="2" t="str">
        <f>IFERROR(__xludf.DUMMYFUNCTION("CONCAT(""&lt;"",GOOGLETRANSLATE(C3035,""en"",""ar""))"),"&lt;شاب")</f>
        <v>&lt;شاب</v>
      </c>
    </row>
    <row r="3037" ht="15.75" customHeight="1">
      <c r="A3037" s="1" t="s">
        <v>3604</v>
      </c>
      <c r="B3037" s="2" t="s">
        <v>3605</v>
      </c>
      <c r="C3037" s="2"/>
    </row>
    <row r="3038" ht="15.75" customHeight="1">
      <c r="A3038" s="2"/>
      <c r="B3038" s="2" t="s">
        <v>3606</v>
      </c>
      <c r="C3038" s="2" t="s">
        <v>3599</v>
      </c>
    </row>
    <row r="3039" ht="15.75" customHeight="1">
      <c r="A3039" s="2" t="s">
        <v>4</v>
      </c>
      <c r="B3039" s="2" t="str">
        <f>IFERROR(__xludf.DUMMYFUNCTION("CONCAT(""&lt;"",GOOGLETRANSLATE(B3038,""en"",""ar""))"),"&lt;برج")</f>
        <v>&lt;برج</v>
      </c>
      <c r="C3039" s="2" t="str">
        <f>IFERROR(__xludf.DUMMYFUNCTION("CONCAT(""&lt;"",GOOGLETRANSLATE(C3038,""en"",""ar""))"),"&lt;برج الحصار \ tester")</f>
        <v>&lt;برج الحصار \ tester</v>
      </c>
    </row>
    <row r="3040" ht="15.75" customHeight="1">
      <c r="A3040" s="1" t="s">
        <v>3607</v>
      </c>
      <c r="B3040" s="2" t="s">
        <v>3608</v>
      </c>
      <c r="C3040" s="2"/>
    </row>
    <row r="3041" ht="15.75" customHeight="1">
      <c r="A3041" s="2"/>
      <c r="B3041" s="2" t="s">
        <v>3609</v>
      </c>
      <c r="C3041" s="2" t="s">
        <v>3610</v>
      </c>
    </row>
    <row r="3042" ht="15.75" customHeight="1">
      <c r="A3042" s="2" t="s">
        <v>4</v>
      </c>
      <c r="B3042" s="2" t="str">
        <f>IFERROR(__xludf.DUMMYFUNCTION("CONCAT(""&lt;"",GOOGLETRANSLATE(B3041,""en"",""ar""))"),"&lt;اختيار")</f>
        <v>&lt;اختيار</v>
      </c>
      <c r="C3042" s="2" t="str">
        <f>IFERROR(__xludf.DUMMYFUNCTION("CONCAT(""&lt;"",GOOGLETRANSLATE(C3041,""en"",""ar""))"),"&lt;اختار ، المنتخب")</f>
        <v>&lt;اختار ، المنتخب</v>
      </c>
    </row>
    <row r="3043" ht="15.75" customHeight="1">
      <c r="A3043" s="1" t="s">
        <v>3611</v>
      </c>
      <c r="B3043" s="2" t="s">
        <v>3612</v>
      </c>
      <c r="C3043" s="2"/>
    </row>
    <row r="3044" ht="15.75" customHeight="1">
      <c r="A3044" s="2"/>
      <c r="B3044" s="2" t="s">
        <v>3613</v>
      </c>
      <c r="C3044" s="2" t="s">
        <v>3614</v>
      </c>
    </row>
    <row r="3045" ht="15.75" customHeight="1">
      <c r="A3045" s="2" t="s">
        <v>4</v>
      </c>
      <c r="B3045" s="2" t="str">
        <f>IFERROR(__xludf.DUMMYFUNCTION("CONCAT(""&lt;"",GOOGLETRANSLATE(B3044,""en"",""ar""))"),"&lt;لابر")</f>
        <v>&lt;لابر</v>
      </c>
      <c r="C3045" s="2" t="str">
        <f>IFERROR(__xludf.DUMMYFUNCTION("CONCAT(""&lt;"",GOOGLETRANSLATE(C3044,""en"",""ar""))"),"&lt;(أ) QAL لتهدئة ، كره")</f>
        <v>&lt;(أ) QAL لتهدئة ، كره</v>
      </c>
    </row>
    <row r="3046" ht="15.75" customHeight="1">
      <c r="A3046" s="1" t="s">
        <v>3615</v>
      </c>
      <c r="B3046" s="2" t="s">
        <v>3616</v>
      </c>
      <c r="C3046" s="2"/>
    </row>
    <row r="3047" ht="15.75" customHeight="1">
      <c r="A3047" s="2"/>
      <c r="B3047" s="2" t="s">
        <v>3617</v>
      </c>
    </row>
    <row r="3048" ht="15.75" customHeight="1">
      <c r="A3048" s="2" t="s">
        <v>4</v>
      </c>
      <c r="B3048" s="2" t="str">
        <f>IFERROR(__xludf.DUMMYFUNCTION("CONCAT(""&lt;"",GOOGLETRANSLATE(B3047,""en"",""ar""))"),"&lt;كن جشع")</f>
        <v>&lt;كن جشع</v>
      </c>
      <c r="C3048" s="2"/>
    </row>
    <row r="3049" ht="15.75" customHeight="1">
      <c r="A3049" s="1" t="s">
        <v>3618</v>
      </c>
      <c r="B3049" s="2" t="s">
        <v>3619</v>
      </c>
      <c r="C3049" s="2"/>
    </row>
    <row r="3050" ht="15.75" customHeight="1">
      <c r="A3050" s="2"/>
      <c r="B3050" s="2" t="s">
        <v>3620</v>
      </c>
      <c r="C3050" s="2" t="s">
        <v>3621</v>
      </c>
    </row>
    <row r="3051" ht="15.75" customHeight="1">
      <c r="A3051" s="2" t="s">
        <v>4</v>
      </c>
      <c r="B3051" s="2" t="str">
        <f>IFERROR(__xludf.DUMMYFUNCTION("CONCAT(""&lt;"",GOOGLETRANSLATE(B3050,""en"",""ar""))"),"&lt;لاختبار")</f>
        <v>&lt;لاختبار</v>
      </c>
      <c r="C3051" s="2" t="str">
        <f>IFERROR(__xludf.DUMMYFUNCTION("CONCAT(""&lt;"",GOOGLETRANSLATE(C3050,""en"",""ar""))"),"&lt;(أ) الاختبار ، المراقبة ؛ (ب) اختبار (حجر)")</f>
        <v>&lt;(أ) الاختبار ، المراقبة ؛ (ب) اختبار (حجر)</v>
      </c>
    </row>
    <row r="3052" ht="15.75" customHeight="1">
      <c r="A3052" s="1" t="s">
        <v>3622</v>
      </c>
      <c r="B3052" s="2" t="s">
        <v>3623</v>
      </c>
      <c r="C3052" s="2"/>
    </row>
    <row r="3053" ht="15.75" customHeight="1">
      <c r="A3053" s="2"/>
      <c r="B3053" s="2" t="s">
        <v>3624</v>
      </c>
      <c r="C3053" s="2" t="s">
        <v>3625</v>
      </c>
    </row>
    <row r="3054" ht="15.75" customHeight="1">
      <c r="A3054" s="2" t="s">
        <v>4</v>
      </c>
      <c r="B3054" s="2" t="str">
        <f>IFERROR(__xludf.DUMMYFUNCTION("CONCAT(""&lt;"",GOOGLETRANSLATE(B3053,""en"",""ar""))"),"&lt;برج المراقبة")</f>
        <v>&lt;برج المراقبة</v>
      </c>
      <c r="C3054" s="2" t="str">
        <f>IFERROR(__xludf.DUMMYFUNCTION("CONCAT(""&lt;"",GOOGLETRANSLATE(C3053,""en"",""ar""))"),"&lt;المعنى غير متأكد ربما برج المراقبة")</f>
        <v>&lt;المعنى غير متأكد ربما برج المراقبة</v>
      </c>
    </row>
    <row r="3055" ht="15.75" customHeight="1">
      <c r="A3055" s="1" t="s">
        <v>3626</v>
      </c>
      <c r="B3055" s="2" t="s">
        <v>3627</v>
      </c>
      <c r="C3055" s="2"/>
    </row>
    <row r="3056" ht="15.75" customHeight="1">
      <c r="A3056" s="2"/>
      <c r="B3056" s="2" t="s">
        <v>3628</v>
      </c>
      <c r="C3056" s="2" t="s">
        <v>3629</v>
      </c>
    </row>
    <row r="3057" ht="15.75" customHeight="1">
      <c r="A3057" s="2" t="s">
        <v>4</v>
      </c>
      <c r="B3057" s="2" t="str">
        <f>IFERROR(__xludf.DUMMYFUNCTION("CONCAT(""&lt;"",GOOGLETRANSLATE(B3056,""en"",""ar""))"),"&lt;اختبارات")</f>
        <v>&lt;اختبارات</v>
      </c>
      <c r="C3057" s="2" t="str">
        <f>IFERROR(__xludf.DUMMYFUNCTION("CONCAT(""&lt;"",GOOGLETRANSLATE(C3056,""en"",""ar""))"),"&lt;QAL لفحص ، لمحاولة \ nif. (سلبي)")</f>
        <v>&lt;QAL لفحص ، لمحاولة \ nif. (سلبي)</v>
      </c>
    </row>
    <row r="3058" ht="15.75" customHeight="1">
      <c r="A3058" s="1" t="s">
        <v>3630</v>
      </c>
      <c r="B3058" s="2" t="s">
        <v>3631</v>
      </c>
      <c r="C3058" s="2"/>
    </row>
    <row r="3059" ht="15.75" customHeight="1">
      <c r="A3059" s="2"/>
      <c r="B3059" s="2" t="s">
        <v>3632</v>
      </c>
      <c r="C3059" s="2" t="s">
        <v>3633</v>
      </c>
    </row>
    <row r="3060" ht="15.75" customHeight="1">
      <c r="A3060" s="2" t="s">
        <v>4</v>
      </c>
      <c r="B3060" s="2" t="str">
        <f>IFERROR(__xludf.DUMMYFUNCTION("CONCAT(""&lt;"",GOOGLETRANSLATE(B3059,""en"",""ar""))"),"&lt;لإختيار")</f>
        <v>&lt;لإختيار</v>
      </c>
      <c r="C3060" s="2" t="str">
        <f>IFERROR(__xludf.DUMMYFUNCTION("CONCAT(""&lt;"",GOOGLETRANSLATE(C3059,""en"",""ar""))"),"&lt;(أ) QAL لفحص ؛ (ب) QAL للاختيار ؛ (ج) QAL السلبي النعت: انتخب ، مختارة ؛ (د) نيف. لانتخاب ، مفضل ؛ (هـ) نيف. ليتم فحصها ؛ (و) بو. يتم اختياره")</f>
        <v>&lt;(أ) QAL لفحص ؛ (ب) QAL للاختيار ؛ (ج) QAL السلبي النعت: انتخب ، مختارة ؛ (د) نيف. لانتخاب ، مفضل ؛ (هـ) نيف. ليتم فحصها ؛ (و) بو. يتم اختياره</v>
      </c>
    </row>
    <row r="3061" ht="15.75" customHeight="1">
      <c r="A3061" s="1" t="s">
        <v>3634</v>
      </c>
      <c r="B3061" s="2" t="s">
        <v>3635</v>
      </c>
      <c r="C3061" s="2"/>
    </row>
    <row r="3062" ht="15.75" customHeight="1">
      <c r="A3062" s="2"/>
      <c r="B3062" s="2" t="s">
        <v>3636</v>
      </c>
      <c r="C3062" s="2" t="s">
        <v>3637</v>
      </c>
    </row>
    <row r="3063" ht="15.75" customHeight="1">
      <c r="A3063" s="2" t="s">
        <v>4</v>
      </c>
      <c r="B3063" s="2" t="str">
        <f>IFERROR(__xludf.DUMMYFUNCTION("CONCAT(""&lt;"",GOOGLETRANSLATE(B3062,""en"",""ar""))"),"&lt;باهاروميت")</f>
        <v>&lt;باهاروميت</v>
      </c>
      <c r="C3063" s="2" t="str">
        <f>IFERROR(__xludf.DUMMYFUNCTION("CONCAT(""&lt;"",GOOGLETRANSLATE(C3062,""en"",""ar""))"),"&lt;باهاروم ساكن بهوريم")</f>
        <v>&lt;باهاروم ساكن بهوريم</v>
      </c>
    </row>
    <row r="3064" ht="15.75" customHeight="1">
      <c r="A3064" s="1" t="s">
        <v>3638</v>
      </c>
      <c r="B3064" s="2" t="s">
        <v>3639</v>
      </c>
      <c r="C3064" s="2"/>
    </row>
    <row r="3065" ht="15.75" customHeight="1">
      <c r="A3065" s="2"/>
      <c r="B3065" s="2" t="s">
        <v>3602</v>
      </c>
      <c r="C3065" s="2" t="s">
        <v>3640</v>
      </c>
    </row>
    <row r="3066" ht="15.75" customHeight="1">
      <c r="A3066" s="2" t="s">
        <v>4</v>
      </c>
      <c r="B3066" s="2" t="str">
        <f>IFERROR(__xludf.DUMMYFUNCTION("CONCAT(""&lt;"",GOOGLETRANSLATE(B3065,""en"",""ar""))"),"&lt;شباب")</f>
        <v>&lt;شباب</v>
      </c>
      <c r="C3066" s="2" t="str">
        <f>IFERROR(__xludf.DUMMYFUNCTION("CONCAT(""&lt;"",GOOGLETRANSLATE(C3065,""en"",""ar""))"),"&lt;الشباب ، سن الشباب")</f>
        <v>&lt;الشباب ، سن الشباب</v>
      </c>
    </row>
    <row r="3067" ht="15.75" customHeight="1">
      <c r="A3067" s="1" t="s">
        <v>3641</v>
      </c>
      <c r="B3067" s="2" t="s">
        <v>3642</v>
      </c>
      <c r="C3067" s="2"/>
    </row>
    <row r="3068" ht="15.75" customHeight="1">
      <c r="A3068" s="2"/>
      <c r="B3068" s="2" t="s">
        <v>3643</v>
      </c>
      <c r="C3068" s="2" t="s">
        <v>3644</v>
      </c>
    </row>
    <row r="3069" ht="15.75" customHeight="1">
      <c r="A3069" s="2" t="s">
        <v>4</v>
      </c>
      <c r="B3069" s="2" t="str">
        <f>IFERROR(__xludf.DUMMYFUNCTION("CONCAT(""&lt;"",GOOGLETRANSLATE(B3068,""en"",""ar""))"),"&lt;بهوريم")</f>
        <v>&lt;بهوريم</v>
      </c>
      <c r="C3069" s="2" t="str">
        <f>IFERROR(__xludf.DUMMYFUNCTION("CONCAT(""&lt;"",GOOGLETRANSLATE(C3068,""en"",""ar""))"),"&lt;بهوريم موقع؛ شرق جبل الزيتون")</f>
        <v>&lt;بهوريم موقع؛ شرق جبل الزيتون</v>
      </c>
    </row>
    <row r="3070" ht="15.75" customHeight="1">
      <c r="A3070" s="1" t="s">
        <v>3645</v>
      </c>
      <c r="B3070" s="2" t="s">
        <v>3646</v>
      </c>
      <c r="C3070" s="2"/>
    </row>
    <row r="3071" ht="15.75" customHeight="1">
      <c r="A3071" s="2"/>
      <c r="B3071" s="2" t="s">
        <v>3647</v>
      </c>
      <c r="C3071" s="2" t="s">
        <v>3648</v>
      </c>
    </row>
    <row r="3072" ht="15.75" customHeight="1">
      <c r="A3072" s="2" t="s">
        <v>4</v>
      </c>
      <c r="B3072" s="2" t="str">
        <f>IFERROR(__xludf.DUMMYFUNCTION("CONCAT(""&lt;"",GOOGLETRANSLATE(B3071,""en"",""ar""))"),"&lt;للتحدث ببهجة")</f>
        <v>&lt;للتحدث ببهجة</v>
      </c>
      <c r="C3072" s="2" t="str">
        <f>IFERROR(__xludf.DUMMYFUNCTION("CONCAT(""&lt;"",GOOGLETRANSLATE(C3071,""en"",""ar""))"),"&lt;(أ) QAL للتحدث ببهجة. (ب) بي. للتحدث ببهجة")</f>
        <v>&lt;(أ) QAL للتحدث ببهجة. (ب) بي. للتحدث ببهجة</v>
      </c>
    </row>
    <row r="3073" ht="15.75" customHeight="1">
      <c r="A3073" s="1" t="s">
        <v>3649</v>
      </c>
      <c r="B3073" s="2" t="s">
        <v>3650</v>
      </c>
      <c r="C3073" s="2"/>
    </row>
    <row r="3074" ht="15.75" customHeight="1">
      <c r="A3074" s="2"/>
      <c r="B3074" s="2" t="s">
        <v>2033</v>
      </c>
      <c r="C3074" s="2" t="s">
        <v>3651</v>
      </c>
    </row>
    <row r="3075" ht="15.75" customHeight="1">
      <c r="A3075" s="2" t="s">
        <v>4</v>
      </c>
      <c r="B3075" s="2" t="str">
        <f>IFERROR(__xludf.DUMMYFUNCTION("CONCAT(""&lt;"",GOOGLETRANSLATE(B3074,""en"",""ar""))"),"&lt;حتى اثق")</f>
        <v>&lt;حتى اثق</v>
      </c>
      <c r="C3075" s="2" t="str">
        <f>IFERROR(__xludf.DUMMYFUNCTION("CONCAT(""&lt;"",GOOGLETRANSLATE(C3074,""en"",""ar""))"),"&lt;QAL للاعتماد ، للثقة \ hif. (السببية)")</f>
        <v>&lt;QAL للاعتماد ، للثقة \ hif. (السببية)</v>
      </c>
    </row>
    <row r="3076" ht="15.75" customHeight="1">
      <c r="A3076" s="1" t="s">
        <v>3652</v>
      </c>
      <c r="B3076" s="2" t="s">
        <v>3653</v>
      </c>
      <c r="C3076" s="2"/>
    </row>
    <row r="3077" ht="15.75" customHeight="1">
      <c r="A3077" s="2"/>
      <c r="B3077" s="2" t="s">
        <v>3654</v>
      </c>
      <c r="C3077" s="2" t="s">
        <v>3655</v>
      </c>
    </row>
    <row r="3078" ht="15.75" customHeight="1">
      <c r="A3078" s="2" t="s">
        <v>4</v>
      </c>
      <c r="B3078" s="2" t="str">
        <f>IFERROR(__xludf.DUMMYFUNCTION("CONCAT(""&lt;"",GOOGLETRANSLATE(B3077,""en"",""ar""))"),"&lt;حماية")</f>
        <v>&lt;حماية</v>
      </c>
      <c r="C3078" s="2" t="str">
        <f>IFERROR(__xludf.DUMMYFUNCTION("CONCAT(""&lt;"",GOOGLETRANSLATE(C3077,""en"",""ar""))"),"&lt;(1) الأمن ، بشكل آمن")</f>
        <v>&lt;(1) الأمن ، بشكل آمن</v>
      </c>
    </row>
    <row r="3079" ht="15.75" customHeight="1">
      <c r="A3079" s="1" t="s">
        <v>3656</v>
      </c>
      <c r="B3079" s="2" t="s">
        <v>3657</v>
      </c>
      <c r="C3079" s="2"/>
    </row>
    <row r="3080" ht="15.75" customHeight="1">
      <c r="A3080" s="2"/>
      <c r="B3080" s="2" t="s">
        <v>3658</v>
      </c>
      <c r="C3080" s="2" t="s">
        <v>3659</v>
      </c>
    </row>
    <row r="3081" ht="15.75" customHeight="1">
      <c r="A3081" s="2" t="s">
        <v>4</v>
      </c>
      <c r="B3081" s="2" t="str">
        <f>IFERROR(__xludf.DUMMYFUNCTION("CONCAT(""&lt;"",GOOGLETRANSLATE(B3080,""en"",""ar""))"),"&lt;بيتا")</f>
        <v>&lt;بيتا</v>
      </c>
      <c r="C3081" s="2" t="str">
        <f>IFERROR(__xludf.DUMMYFUNCTION("CONCAT(""&lt;"",GOOGLETRANSLATE(C3080,""en"",""ar""))"),"&lt;(2) بيتا ؛ بلدة؛ زوبا")</f>
        <v>&lt;(2) بيتا ؛ بلدة؛ زوبا</v>
      </c>
    </row>
    <row r="3082" ht="15.75" customHeight="1">
      <c r="A3082" s="1" t="s">
        <v>3660</v>
      </c>
      <c r="B3082" s="2" t="s">
        <v>3661</v>
      </c>
      <c r="C3082" s="2"/>
    </row>
    <row r="3083" ht="15.75" customHeight="1">
      <c r="A3083" s="2"/>
      <c r="B3083" s="2" t="s">
        <v>3662</v>
      </c>
      <c r="C3083" s="2" t="s">
        <v>3663</v>
      </c>
    </row>
    <row r="3084" ht="15.75" customHeight="1">
      <c r="A3084" s="2" t="s">
        <v>4</v>
      </c>
      <c r="B3084" s="2" t="str">
        <f>IFERROR(__xludf.DUMMYFUNCTION("CONCAT(""&lt;"",GOOGLETRANSLATE(B3083,""en"",""ar""))"),"&lt;يثق")</f>
        <v>&lt;يثق</v>
      </c>
      <c r="C3084" s="2" t="str">
        <f>IFERROR(__xludf.DUMMYFUNCTION("CONCAT(""&lt;"",GOOGLETRANSLATE(C3083,""en"",""ar""))"),"&lt;ثقة")</f>
        <v>&lt;ثقة</v>
      </c>
    </row>
    <row r="3085" ht="15.75" customHeight="1">
      <c r="A3085" s="1" t="s">
        <v>3664</v>
      </c>
      <c r="B3085" s="2" t="s">
        <v>3665</v>
      </c>
      <c r="C3085" s="2"/>
    </row>
    <row r="3086" ht="15.75" customHeight="1">
      <c r="A3086" s="2"/>
      <c r="B3086" s="2" t="s">
        <v>3662</v>
      </c>
      <c r="C3086" s="2" t="s">
        <v>3663</v>
      </c>
    </row>
    <row r="3087" ht="15.75" customHeight="1">
      <c r="A3087" s="2" t="s">
        <v>4</v>
      </c>
      <c r="B3087" s="2" t="str">
        <f>IFERROR(__xludf.DUMMYFUNCTION("CONCAT(""&lt;"",GOOGLETRANSLATE(B3086,""en"",""ar""))"),"&lt;يثق")</f>
        <v>&lt;يثق</v>
      </c>
      <c r="C3087" s="2" t="str">
        <f>IFERROR(__xludf.DUMMYFUNCTION("CONCAT(""&lt;"",GOOGLETRANSLATE(C3086,""en"",""ar""))"),"&lt;ثقة")</f>
        <v>&lt;ثقة</v>
      </c>
    </row>
    <row r="3088" ht="15.75" customHeight="1">
      <c r="A3088" s="1" t="s">
        <v>3666</v>
      </c>
      <c r="B3088" s="2" t="s">
        <v>3667</v>
      </c>
      <c r="C3088" s="2"/>
    </row>
    <row r="3089" ht="15.75" customHeight="1">
      <c r="A3089" s="2"/>
      <c r="B3089" s="2" t="s">
        <v>3654</v>
      </c>
      <c r="C3089" s="2" t="s">
        <v>3668</v>
      </c>
    </row>
    <row r="3090" ht="15.75" customHeight="1">
      <c r="A3090" s="2" t="s">
        <v>4</v>
      </c>
      <c r="B3090" s="2" t="str">
        <f>IFERROR(__xludf.DUMMYFUNCTION("CONCAT(""&lt;"",GOOGLETRANSLATE(B3089,""en"",""ar""))"),"&lt;حماية")</f>
        <v>&lt;حماية</v>
      </c>
      <c r="C3090" s="2" t="str">
        <f>IFERROR(__xludf.DUMMYFUNCTION("CONCAT(""&lt;"",GOOGLETRANSLATE(C3089,""en"",""ar""))"),"&lt;أمان")</f>
        <v>&lt;أمان</v>
      </c>
    </row>
    <row r="3091" ht="15.75" customHeight="1">
      <c r="A3091" s="1" t="s">
        <v>3669</v>
      </c>
      <c r="B3091" s="2" t="s">
        <v>3670</v>
      </c>
      <c r="C3091" s="2"/>
    </row>
    <row r="3092" ht="15.75" customHeight="1">
      <c r="A3092" s="2"/>
      <c r="B3092" s="2" t="s">
        <v>3671</v>
      </c>
      <c r="C3092" s="2" t="s">
        <v>3672</v>
      </c>
    </row>
    <row r="3093" ht="15.75" customHeight="1">
      <c r="A3093" s="2" t="s">
        <v>4</v>
      </c>
      <c r="B3093" s="2" t="str">
        <f>IFERROR(__xludf.DUMMYFUNCTION("CONCAT(""&lt;"",GOOGLETRANSLATE(B3092,""en"",""ar""))"),"&lt;يقتنص")</f>
        <v>&lt;يقتنص</v>
      </c>
      <c r="C3093" s="2" t="str">
        <f>IFERROR(__xludf.DUMMYFUNCTION("CONCAT(""&lt;"",GOOGLETRANSLATE(C3092,""en"",""ar""))"),"&lt;QAL لوقف العمل")</f>
        <v>&lt;QAL لوقف العمل</v>
      </c>
    </row>
    <row r="3094" ht="15.75" customHeight="1">
      <c r="A3094" s="1" t="s">
        <v>3673</v>
      </c>
      <c r="B3094" s="2" t="s">
        <v>3674</v>
      </c>
      <c r="C3094" s="2"/>
    </row>
    <row r="3095" ht="15.75" customHeight="1">
      <c r="A3095" s="2"/>
      <c r="B3095" s="2" t="s">
        <v>3671</v>
      </c>
      <c r="C3095" s="2" t="s">
        <v>3672</v>
      </c>
    </row>
    <row r="3096" ht="15.75" customHeight="1">
      <c r="A3096" s="2" t="s">
        <v>4</v>
      </c>
      <c r="B3096" s="2" t="str">
        <f>IFERROR(__xludf.DUMMYFUNCTION("CONCAT(""&lt;"",GOOGLETRANSLATE(B3095,""en"",""ar""))"),"&lt;يقتنص")</f>
        <v>&lt;يقتنص</v>
      </c>
      <c r="C3096" s="2" t="str">
        <f>IFERROR(__xludf.DUMMYFUNCTION("CONCAT(""&lt;"",GOOGLETRANSLATE(C3095,""en"",""ar""))"),"&lt;QAL لوقف العمل")</f>
        <v>&lt;QAL لوقف العمل</v>
      </c>
    </row>
    <row r="3097" ht="15.75" customHeight="1">
      <c r="A3097" s="1" t="s">
        <v>3675</v>
      </c>
      <c r="B3097" s="2" t="s">
        <v>3676</v>
      </c>
      <c r="C3097" s="2"/>
    </row>
    <row r="3098" ht="15.75" customHeight="1">
      <c r="A3098" s="2"/>
      <c r="B3098" s="2" t="s">
        <v>3677</v>
      </c>
      <c r="C3098" s="2" t="s">
        <v>3678</v>
      </c>
    </row>
    <row r="3099" ht="15.75" customHeight="1">
      <c r="A3099" s="2" t="s">
        <v>4</v>
      </c>
      <c r="B3099" s="2" t="str">
        <f>IFERROR(__xludf.DUMMYFUNCTION("CONCAT(""&lt;"",GOOGLETRANSLATE(B3098,""en"",""ar""))"),"&lt;بطن")</f>
        <v>&lt;بطن</v>
      </c>
      <c r="C3099" s="2" t="str">
        <f>IFERROR(__xludf.DUMMYFUNCTION("CONCAT(""&lt;"",GOOGLETRANSLATE(C3098,""en"",""ar""))"),"&lt;(1 أ) المصطلح المعماري ؛ (1 ب) البطن ، رحم الأم ؛ (2) بيتن ؛ بلدة؛ أراضي آشر")</f>
        <v>&lt;(1 أ) المصطلح المعماري ؛ (1 ب) البطن ، رحم الأم ؛ (2) بيتن ؛ بلدة؛ أراضي آشر</v>
      </c>
    </row>
    <row r="3100" ht="15.75" customHeight="1">
      <c r="A3100" s="1" t="s">
        <v>3679</v>
      </c>
      <c r="B3100" s="2" t="s">
        <v>3680</v>
      </c>
      <c r="C3100" s="2"/>
    </row>
    <row r="3101" ht="15.75" customHeight="1">
      <c r="A3101" s="2"/>
      <c r="B3101" s="2" t="s">
        <v>3681</v>
      </c>
      <c r="C3101" s="2" t="s">
        <v>3678</v>
      </c>
    </row>
    <row r="3102" ht="15.75" customHeight="1">
      <c r="A3102" s="2" t="s">
        <v>4</v>
      </c>
      <c r="B3102" s="2" t="str">
        <f>IFERROR(__xludf.DUMMYFUNCTION("CONCAT(""&lt;"",GOOGLETRANSLATE(B3101,""en"",""ar""))"),"&lt;بيتن")</f>
        <v>&lt;بيتن</v>
      </c>
      <c r="C3102" s="2" t="str">
        <f>IFERROR(__xludf.DUMMYFUNCTION("CONCAT(""&lt;"",GOOGLETRANSLATE(C3101,""en"",""ar""))"),"&lt;(1 أ) المصطلح المعماري ؛ (1 ب) البطن ، رحم الأم ؛ (2) بيتن ؛ بلدة؛ أراضي آشر")</f>
        <v>&lt;(1 أ) المصطلح المعماري ؛ (1 ب) البطن ، رحم الأم ؛ (2) بيتن ؛ بلدة؛ أراضي آشر</v>
      </c>
    </row>
    <row r="3103" ht="15.75" customHeight="1">
      <c r="A3103" s="1" t="s">
        <v>3682</v>
      </c>
      <c r="B3103" s="2" t="s">
        <v>3683</v>
      </c>
      <c r="C3103" s="2"/>
    </row>
    <row r="3104" ht="15.75" customHeight="1">
      <c r="A3104" s="2"/>
      <c r="B3104" s="2" t="s">
        <v>3684</v>
      </c>
      <c r="C3104" s="2" t="s">
        <v>3685</v>
      </c>
    </row>
    <row r="3105" ht="15.75" customHeight="1">
      <c r="A3105" s="2" t="s">
        <v>4</v>
      </c>
      <c r="B3105" s="2" t="str">
        <f>IFERROR(__xludf.DUMMYFUNCTION("CONCAT(""&lt;"",GOOGLETRANSLATE(B3104,""en"",""ar""))"),"&lt;الفستق")</f>
        <v>&lt;الفستق</v>
      </c>
      <c r="C3105" s="2" t="str">
        <f>IFERROR(__xludf.DUMMYFUNCTION("CONCAT(""&lt;"",GOOGLETRANSLATE(C3104,""en"",""ar""))"),"&lt;جوز بندق")</f>
        <v>&lt;جوز بندق</v>
      </c>
    </row>
    <row r="3106" ht="15.75" customHeight="1">
      <c r="A3106" s="1" t="s">
        <v>3686</v>
      </c>
      <c r="B3106" s="2" t="s">
        <v>3687</v>
      </c>
      <c r="C3106" s="2"/>
    </row>
    <row r="3107" ht="15.75" customHeight="1">
      <c r="A3107" s="2"/>
      <c r="B3107" s="2" t="s">
        <v>3688</v>
      </c>
      <c r="C3107" s="2" t="s">
        <v>3689</v>
      </c>
    </row>
    <row r="3108" ht="15.75" customHeight="1">
      <c r="A3108" s="2" t="s">
        <v>4</v>
      </c>
      <c r="B3108" s="2" t="str">
        <f>IFERROR(__xludf.DUMMYFUNCTION("CONCAT(""&lt;"",GOOGLETRANSLATE(B3107,""en"",""ar""))"),"&lt;بيتونيم")</f>
        <v>&lt;بيتونيم</v>
      </c>
      <c r="C3108" s="2" t="str">
        <f>IFERROR(__xludf.DUMMYFUNCTION("CONCAT(""&lt;"",GOOGLETRANSLATE(C3107,""en"",""ar""))"),"&lt;بيتونيم بلدة؛ أراضي جاد")</f>
        <v>&lt;بيتونيم بلدة؛ أراضي جاد</v>
      </c>
    </row>
    <row r="3109" ht="15.75" customHeight="1">
      <c r="A3109" s="1" t="s">
        <v>3690</v>
      </c>
      <c r="B3109" s="2" t="s">
        <v>3691</v>
      </c>
      <c r="C3109" s="2"/>
    </row>
    <row r="3110" ht="15.75" customHeight="1">
      <c r="A3110" s="2"/>
      <c r="B3110" s="2" t="s">
        <v>3692</v>
      </c>
      <c r="C3110" s="2" t="s">
        <v>3693</v>
      </c>
    </row>
    <row r="3111" ht="15.75" customHeight="1">
      <c r="A3111" s="2" t="s">
        <v>4</v>
      </c>
      <c r="B3111" s="2" t="str">
        <f>IFERROR(__xludf.DUMMYFUNCTION("CONCAT(""&lt;"",GOOGLETRANSLATE(B3110,""en"",""ar""))"),"&lt;لو سمحت")</f>
        <v>&lt;لو سمحت</v>
      </c>
      <c r="C3111" s="2" t="str">
        <f>IFERROR(__xludf.DUMMYFUNCTION("CONCAT(""&lt;"",GOOGLETRANSLATE(C3110,""en"",""ar""))"),"&lt;صيغة لبدء محادثة")</f>
        <v>&lt;صيغة لبدء محادثة</v>
      </c>
    </row>
    <row r="3112" ht="15.75" customHeight="1">
      <c r="A3112" s="1" t="s">
        <v>3694</v>
      </c>
      <c r="B3112" s="2" t="s">
        <v>3695</v>
      </c>
      <c r="C3112" s="2"/>
    </row>
    <row r="3113" ht="15.75" customHeight="1">
      <c r="A3113" s="2"/>
      <c r="B3113" s="2" t="s">
        <v>3696</v>
      </c>
      <c r="C3113" s="2" t="s">
        <v>3697</v>
      </c>
    </row>
    <row r="3114" ht="15.75" customHeight="1">
      <c r="A3114" s="2" t="s">
        <v>4</v>
      </c>
      <c r="B3114" s="2" t="str">
        <f>IFERROR(__xludf.DUMMYFUNCTION("CONCAT(""&lt;"",GOOGLETRANSLATE(B3113,""en"",""ar""))"),"&lt;لفهم")</f>
        <v>&lt;لفهم</v>
      </c>
      <c r="C3114" s="2" t="str">
        <f>IFERROR(__xludf.DUMMYFUNCTION("CONCAT(""&lt;"",GOOGLETRANSLATE(C3113,""en"",""ar""))"),"&lt;(أ) QAL لإدراك ، ولاحظ ، للنظر ، لفهم ؛ (ب) نيف. أن تكون مميزًا ؛ (ج) بيل. للاعتناء ب؛ (د) Hitpol. الانتباه ، لفهم ؛ (هـ) HIF. للنظر ، لفهم ؛ (و) لشرح ، لتوجيه")</f>
        <v>&lt;(أ) QAL لإدراك ، ولاحظ ، للنظر ، لفهم ؛ (ب) نيف. أن تكون مميزًا ؛ (ج) بيل. للاعتناء ب؛ (د) Hitpol. الانتباه ، لفهم ؛ (هـ) HIF. للنظر ، لفهم ؛ (و) لشرح ، لتوجيه</v>
      </c>
    </row>
    <row r="3115" ht="15.75" customHeight="1">
      <c r="A3115" s="1" t="s">
        <v>3698</v>
      </c>
      <c r="B3115" s="2" t="s">
        <v>3699</v>
      </c>
      <c r="C3115" s="2"/>
    </row>
    <row r="3116" ht="15.75" customHeight="1">
      <c r="A3116" s="2"/>
      <c r="B3116" s="2" t="s">
        <v>3700</v>
      </c>
      <c r="C3116" s="2" t="s">
        <v>3701</v>
      </c>
    </row>
    <row r="3117" ht="15.75" customHeight="1">
      <c r="A3117" s="2" t="s">
        <v>4</v>
      </c>
      <c r="B3117" s="2" t="str">
        <f>IFERROR(__xludf.DUMMYFUNCTION("CONCAT(""&lt;"",GOOGLETRANSLATE(B3116,""en"",""ar""))"),"&lt;بين")</f>
        <v>&lt;بين</v>
      </c>
      <c r="C3117" s="2" t="str">
        <f>IFERROR(__xludf.DUMMYFUNCTION("CONCAT(""&lt;"",GOOGLETRANSLATE(C3116,""en"",""ar""))"),"&lt;(أ) الفاصل الزمني ، المسافة ؛ (ب) بين")</f>
        <v>&lt;(أ) الفاصل الزمني ، المسافة ؛ (ب) بين</v>
      </c>
    </row>
    <row r="3118" ht="15.75" customHeight="1">
      <c r="A3118" s="1" t="s">
        <v>3702</v>
      </c>
      <c r="B3118" s="2" t="s">
        <v>3703</v>
      </c>
      <c r="C3118" s="2"/>
    </row>
    <row r="3119" ht="15.75" customHeight="1">
      <c r="B3119" s="2" t="s">
        <v>3700</v>
      </c>
      <c r="C3119" s="2" t="s">
        <v>3701</v>
      </c>
    </row>
    <row r="3120" ht="15.75" customHeight="1">
      <c r="A3120" s="2" t="s">
        <v>4</v>
      </c>
      <c r="B3120" s="2" t="str">
        <f>IFERROR(__xludf.DUMMYFUNCTION("CONCAT(""&lt;"",GOOGLETRANSLATE(B3119,""en"",""ar""))"),"&lt;بين")</f>
        <v>&lt;بين</v>
      </c>
      <c r="C3120" s="2" t="str">
        <f>IFERROR(__xludf.DUMMYFUNCTION("CONCAT(""&lt;"",GOOGLETRANSLATE(C3119,""en"",""ar""))"),"&lt;(أ) الفاصل الزمني ، المسافة ؛ (ب) بين")</f>
        <v>&lt;(أ) الفاصل الزمني ، المسافة ؛ (ب) بين</v>
      </c>
    </row>
    <row r="3121" ht="15.75" customHeight="1">
      <c r="A3121" s="1" t="s">
        <v>3704</v>
      </c>
      <c r="B3121" s="2" t="s">
        <v>3705</v>
      </c>
      <c r="C3121" s="2"/>
    </row>
    <row r="3122" ht="15.75" customHeight="1">
      <c r="B3122" s="2" t="s">
        <v>3706</v>
      </c>
      <c r="C3122" s="2" t="s">
        <v>3707</v>
      </c>
    </row>
    <row r="3123" ht="15.75" customHeight="1">
      <c r="A3123" s="2" t="s">
        <v>4</v>
      </c>
      <c r="B3123" s="2" t="str">
        <f>IFERROR(__xludf.DUMMYFUNCTION("CONCAT(""&lt;"",GOOGLETRANSLATE(B3122,""en"",""ar""))"),"&lt;فهم")</f>
        <v>&lt;فهم</v>
      </c>
      <c r="C3123" s="2" t="str">
        <f>IFERROR(__xludf.DUMMYFUNCTION("CONCAT(""&lt;"",GOOGLETRANSLATE(C3122,""en"",""ar""))"),"&lt;الفهم ، المهارة")</f>
        <v>&lt;الفهم ، المهارة</v>
      </c>
    </row>
    <row r="3124" ht="15.75" customHeight="1">
      <c r="A3124" s="1" t="s">
        <v>3708</v>
      </c>
      <c r="B3124" s="2" t="s">
        <v>3709</v>
      </c>
      <c r="C3124" s="2"/>
    </row>
    <row r="3125" ht="15.75" customHeight="1">
      <c r="B3125" s="2" t="s">
        <v>3706</v>
      </c>
      <c r="C3125" s="2" t="s">
        <v>3707</v>
      </c>
    </row>
    <row r="3126" ht="15.75" customHeight="1">
      <c r="A3126" s="2" t="s">
        <v>4</v>
      </c>
      <c r="B3126" s="2" t="str">
        <f>IFERROR(__xludf.DUMMYFUNCTION("CONCAT(""&lt;"",GOOGLETRANSLATE(B3125,""en"",""ar""))"),"&lt;فهم")</f>
        <v>&lt;فهم</v>
      </c>
      <c r="C3126" s="2" t="str">
        <f>IFERROR(__xludf.DUMMYFUNCTION("CONCAT(""&lt;"",GOOGLETRANSLATE(C3125,""en"",""ar""))"),"&lt;الفهم ، المهارة")</f>
        <v>&lt;الفهم ، المهارة</v>
      </c>
    </row>
  </sheetData>
  <conditionalFormatting sqref="A1:C3126">
    <cfRule type="expression" dxfId="0" priority="1">
      <formula>SEARCH(" = ",$A1)</formula>
    </cfRule>
  </conditionalFormatting>
  <conditionalFormatting sqref="B1:B3126">
    <cfRule type="expression" dxfId="1" priority="2">
      <formula>AND($A1="&gt;", $B1&lt;&gt;"")</formula>
    </cfRule>
  </conditionalFormatting>
  <conditionalFormatting sqref="B1:C3126">
    <cfRule type="expression" dxfId="2" priority="3">
      <formula>$A1="&gt;"</formula>
    </cfRule>
  </conditionalFormatting>
  <conditionalFormatting sqref="C1:C3126">
    <cfRule type="expression" dxfId="1" priority="4">
      <formula>AND($A1="&gt;", $C1&lt;&gt;"")</formula>
    </cfRule>
  </conditionalFormatting>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2023-08-17T02:03:01Z</dcterms:created>
  <dc:creator>sami</dc:creator>
</cp:coreProperties>
</file>